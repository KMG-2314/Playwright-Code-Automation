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208"/>
  </bookViews>
  <sheets>
    <sheet name="ResourceEffort64v14-1" sheetId="2" r:id="rId1"/>
  </sheets>
  <definedNames>
    <definedName name="_xlnm._FilterDatabase" localSheetId="0" hidden="1">'ResourceEffort64v14-1'!$A$1:$AD$47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2" l="1"/>
  <c r="M19" i="2"/>
  <c r="J46" i="2"/>
  <c r="I46" i="2"/>
  <c r="H46" i="2"/>
  <c r="K51" i="2" s="1"/>
  <c r="L44" i="2"/>
  <c r="M44" i="2" s="1"/>
  <c r="L43" i="2"/>
  <c r="L26" i="2"/>
  <c r="L20" i="2"/>
  <c r="L18" i="2" l="1"/>
  <c r="L2" i="2"/>
  <c r="K6" i="2" l="1"/>
  <c r="G46" i="2"/>
  <c r="K50" i="2" s="1"/>
  <c r="L42" i="2"/>
  <c r="M42" i="2" s="1"/>
  <c r="L41" i="2"/>
  <c r="M41" i="2" s="1"/>
  <c r="L40" i="2"/>
  <c r="M40" i="2" s="1"/>
  <c r="L38" i="2"/>
  <c r="M38" i="2" s="1"/>
  <c r="L37" i="2"/>
  <c r="L36" i="2"/>
  <c r="L34" i="2"/>
  <c r="L33" i="2"/>
  <c r="L32" i="2"/>
  <c r="L30" i="2"/>
  <c r="M30" i="2" s="1"/>
  <c r="L25" i="2"/>
  <c r="M25" i="2" s="1"/>
  <c r="M20" i="2"/>
  <c r="L17" i="2"/>
  <c r="L15" i="2"/>
  <c r="L14" i="2"/>
  <c r="L13" i="2"/>
  <c r="L11" i="2"/>
  <c r="M11" i="2" s="1"/>
  <c r="L9" i="2"/>
  <c r="M9" i="2" s="1"/>
  <c r="L7" i="2"/>
  <c r="L4" i="2"/>
  <c r="K46" i="2" l="1"/>
  <c r="M32" i="2"/>
  <c r="M17" i="2"/>
  <c r="M13" i="2"/>
  <c r="M7" i="2"/>
  <c r="L5" i="2"/>
  <c r="M5" i="2" s="1"/>
  <c r="M2" i="2"/>
  <c r="M26" i="2" l="1"/>
  <c r="M46" i="2" s="1"/>
</calcChain>
</file>

<file path=xl/sharedStrings.xml><?xml version="1.0" encoding="utf-8"?>
<sst xmlns="http://schemas.openxmlformats.org/spreadsheetml/2006/main" count="369" uniqueCount="90">
  <si>
    <t>SNo</t>
  </si>
  <si>
    <t>Project</t>
  </si>
  <si>
    <t>Primary Tasks</t>
  </si>
  <si>
    <t>Secondary Task</t>
  </si>
  <si>
    <t>Resource</t>
  </si>
  <si>
    <t>Role</t>
  </si>
  <si>
    <t>W1 Hrs</t>
  </si>
  <si>
    <t>W2 Hrs</t>
  </si>
  <si>
    <t>W4 Hrs(Projected)</t>
  </si>
  <si>
    <t>W5 Hrs
(Projected)</t>
  </si>
  <si>
    <t>Combined
Hours</t>
  </si>
  <si>
    <t>Total Hrs</t>
  </si>
  <si>
    <t>Comment</t>
  </si>
  <si>
    <t> </t>
  </si>
  <si>
    <t>Quincy Devp. Projects</t>
  </si>
  <si>
    <t>Documentation</t>
  </si>
  <si>
    <t>Rajan Singh</t>
  </si>
  <si>
    <t>.Net Developer</t>
  </si>
  <si>
    <t>Development API</t>
  </si>
  <si>
    <t>SIR Dev &amp; documentation</t>
  </si>
  <si>
    <t>SIR - EDocs</t>
  </si>
  <si>
    <t>Python Raters Rewrite PAP</t>
  </si>
  <si>
    <t>UAT Testing Support PAP</t>
  </si>
  <si>
    <t>Praveen Kumar</t>
  </si>
  <si>
    <t>QA Tester</t>
  </si>
  <si>
    <t>Hours are for UAT support i.e defects replication, Internal dev co-ordination, re-testing &amp; recreation of defects. From W3 the hours are projected hours only if any defect reported from client end. (Total estimated hours - 54)
Hours are for UAT testing for all 03 state included Client provided scenarios (Total Estimated hours 164) - (Hours for April month 122) = 42 hours remaining (till 2nd week of May) i.e expected completion timeline.
*Note for April -W5 we have only 04 working days</t>
  </si>
  <si>
    <t>Quincy PAP Automation Enhancement</t>
  </si>
  <si>
    <t>PAP Manual Data Creation, Execution &amp; Validation</t>
  </si>
  <si>
    <t>WINS Documentation</t>
  </si>
  <si>
    <t>DFA Screen Field Mapping</t>
  </si>
  <si>
    <t>Ankita Naskar</t>
  </si>
  <si>
    <t>COBOL Developer</t>
  </si>
  <si>
    <t>Field Mapping of BOP/HOP</t>
  </si>
  <si>
    <t>RPA Report Support</t>
  </si>
  <si>
    <t>RPA Monthly Reports Execution &amp; Validation</t>
  </si>
  <si>
    <t>Raginee Singh</t>
  </si>
  <si>
    <t>RPA Developer</t>
  </si>
  <si>
    <t>New Screen-Policy Information</t>
  </si>
  <si>
    <t>Jyotirmoy Adhikary</t>
  </si>
  <si>
    <t>Maanik Kapoor</t>
  </si>
  <si>
    <t xml:space="preserve">Regression Defect Fixing </t>
  </si>
  <si>
    <t>DFA and additional lines</t>
  </si>
  <si>
    <t>DFA Endorsement</t>
  </si>
  <si>
    <t>Documentation and review</t>
  </si>
  <si>
    <t>Shayak Ghosh</t>
  </si>
  <si>
    <t>DFA Quote</t>
  </si>
  <si>
    <t>Billing - Batch &amp; Reinstatements</t>
  </si>
  <si>
    <t>Sasanka Sekhar Ghosh</t>
  </si>
  <si>
    <t>Dwelling Fire DFA, Data Dictonary</t>
  </si>
  <si>
    <t>Sumit Mukhopadhyay</t>
  </si>
  <si>
    <t>COBOL Lead</t>
  </si>
  <si>
    <t>MCA Field Mapping Dwxp Dmbp Files Policy</t>
  </si>
  <si>
    <t>Cancellation N Reinstatement</t>
  </si>
  <si>
    <t>Kartikey Pant</t>
  </si>
  <si>
    <t>Python Developer</t>
  </si>
  <si>
    <t xml:space="preserve">WINS Documentation </t>
  </si>
  <si>
    <t>Documentation &amp; ERD Review</t>
  </si>
  <si>
    <t>Piuesh Jain</t>
  </si>
  <si>
    <t>PM</t>
  </si>
  <si>
    <t>Devops Setup &amp; Support</t>
  </si>
  <si>
    <t>DevOps Setup &amp; Configuration</t>
  </si>
  <si>
    <t>PBI &amp; Sharepoint Support</t>
  </si>
  <si>
    <t>Power BI Reports</t>
  </si>
  <si>
    <t>Reports Review &amp; Support</t>
  </si>
  <si>
    <t xml:space="preserve">Workflows </t>
  </si>
  <si>
    <t>Teena Walia</t>
  </si>
  <si>
    <t>BA</t>
  </si>
  <si>
    <t>RPA support</t>
  </si>
  <si>
    <t>Quincy General Professional Services</t>
  </si>
  <si>
    <t>PAP Python Rewite Prod Dev</t>
  </si>
  <si>
    <t>Vinod Ramamurthy</t>
  </si>
  <si>
    <t>SME</t>
  </si>
  <si>
    <t>Adhoc requests from Shashi</t>
  </si>
  <si>
    <t>QOL 2.0 MCA</t>
  </si>
  <si>
    <t>Client Meetings</t>
  </si>
  <si>
    <t>SIRs</t>
  </si>
  <si>
    <t>Devops Setup &amp; Configuration</t>
  </si>
  <si>
    <t>Bhawesh Pant</t>
  </si>
  <si>
    <t>Devops &amp; Data Engineer</t>
  </si>
  <si>
    <t>ERD and sharepoint</t>
  </si>
  <si>
    <t>Data Dictonary and Snapshot queries</t>
  </si>
  <si>
    <t>Ravindra Singh</t>
  </si>
  <si>
    <t>Ritam Chakraborty</t>
  </si>
  <si>
    <t>Sandip Kuilya</t>
  </si>
  <si>
    <t>Vikas Gusain</t>
  </si>
  <si>
    <t>Power BI developer</t>
  </si>
  <si>
    <t>Total</t>
  </si>
  <si>
    <t>W1</t>
  </si>
  <si>
    <t>W2</t>
  </si>
  <si>
    <t>W3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</si>
</sst>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sz val="11"/>
      <color rgb="FF000000"/>
      <name val="Calibri"/>
      <family val="2"/>
      <charset val="1"/>
      <scheme val="minor"/>
    </font>
    <font>
      <sz val="11"/>
      <color rgb="FF242424"/>
      <name val="Calibri"/>
      <family val="2"/>
      <charset val="1"/>
      <scheme val="minor"/>
    </font>
    <font>
      <b/>
      <sz val="11"/>
      <name val="Calibri"/>
      <family val="2"/>
    </font>
    <font>
      <sz val="11"/>
      <color rgb="FF000000"/>
      <name val="Calibri"/>
    </font>
    <font>
      <b/>
      <sz val="11"/>
      <color rgb="FF000000"/>
      <name val="Calibri"/>
      <family val="2"/>
      <charset val="1"/>
      <scheme val="minor"/>
    </font>
    <font>
      <b/>
      <sz val="11"/>
      <color rgb="FF242424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/>
  </cellStyleXfs>
  <cellXfs count="236"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4" fillId="5" borderId="0" xfId="0" applyFont="1" applyFill="1" applyAlignment="1">
      <alignment wrapText="1"/>
    </xf>
    <xf numFmtId="0" fontId="0" fillId="3" borderId="0" xfId="0" applyFill="1"/>
    <xf numFmtId="0" fontId="0" fillId="5" borderId="0" xfId="0" applyFill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/>
    <xf numFmtId="0" fontId="0" fillId="5" borderId="1" xfId="0" applyFill="1" applyBorder="1"/>
    <xf numFmtId="0" fontId="0" fillId="3" borderId="9" xfId="0" applyFill="1" applyBorder="1"/>
    <xf numFmtId="0" fontId="0" fillId="3" borderId="5" xfId="0" applyFill="1" applyBorder="1"/>
    <xf numFmtId="0" fontId="4" fillId="5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wrapText="1"/>
    </xf>
    <xf numFmtId="0" fontId="8" fillId="5" borderId="0" xfId="0" applyFont="1" applyFill="1"/>
    <xf numFmtId="0" fontId="9" fillId="0" borderId="0" xfId="0" applyFont="1"/>
    <xf numFmtId="0" fontId="10" fillId="6" borderId="5" xfId="0" applyFont="1" applyFill="1" applyBorder="1" applyAlignment="1">
      <alignment horizontal="center" vertical="center"/>
    </xf>
    <xf numFmtId="0" fontId="0" fillId="5" borderId="2" xfId="0" applyFill="1" applyBorder="1" applyAlignment="1">
      <alignment wrapText="1"/>
    </xf>
    <xf numFmtId="0" fontId="5" fillId="5" borderId="0" xfId="1" applyFont="1" applyFill="1" applyBorder="1" applyAlignment="1">
      <alignment wrapText="1"/>
    </xf>
    <xf numFmtId="0" fontId="5" fillId="5" borderId="0" xfId="1" applyFont="1" applyFill="1" applyBorder="1"/>
    <xf numFmtId="0" fontId="4" fillId="5" borderId="1" xfId="0" applyFont="1" applyFill="1" applyBorder="1" applyAlignment="1">
      <alignment vertical="center" wrapText="1"/>
    </xf>
    <xf numFmtId="0" fontId="5" fillId="2" borderId="0" xfId="1" applyFont="1" applyBorder="1"/>
    <xf numFmtId="1" fontId="7" fillId="6" borderId="6" xfId="0" applyNumberFormat="1" applyFont="1" applyFill="1" applyBorder="1" applyAlignment="1">
      <alignment horizontal="right" vertical="center" wrapText="1"/>
    </xf>
    <xf numFmtId="0" fontId="0" fillId="5" borderId="12" xfId="0" applyFill="1" applyBorder="1" applyAlignment="1">
      <alignment horizontal="center" wrapText="1"/>
    </xf>
    <xf numFmtId="0" fontId="0" fillId="5" borderId="15" xfId="0" applyFill="1" applyBorder="1" applyAlignment="1">
      <alignment horizontal="center" wrapText="1"/>
    </xf>
    <xf numFmtId="0" fontId="0" fillId="5" borderId="13" xfId="0" applyFill="1" applyBorder="1" applyAlignment="1">
      <alignment horizontal="center" wrapText="1"/>
    </xf>
    <xf numFmtId="0" fontId="7" fillId="6" borderId="1" xfId="0" applyFont="1" applyFill="1" applyBorder="1" applyAlignment="1">
      <alignment horizontal="right" vertical="center" wrapText="1"/>
    </xf>
    <xf numFmtId="0" fontId="11" fillId="9" borderId="1" xfId="0" applyFont="1" applyFill="1" applyBorder="1" applyAlignment="1">
      <alignment horizontal="right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4" fillId="5" borderId="10" xfId="0" applyFont="1" applyFill="1" applyBorder="1" applyAlignment="1">
      <alignment horizontal="left" vertical="center"/>
    </xf>
    <xf numFmtId="0" fontId="15" fillId="5" borderId="19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wrapText="1"/>
    </xf>
    <xf numFmtId="0" fontId="4" fillId="5" borderId="5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5" borderId="3" xfId="0" applyFont="1" applyFill="1" applyBorder="1" applyAlignment="1">
      <alignment vertical="center"/>
    </xf>
    <xf numFmtId="0" fontId="0" fillId="5" borderId="10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8" fillId="5" borderId="20" xfId="0" applyFont="1" applyFill="1" applyBorder="1" applyAlignment="1">
      <alignment horizontal="left" vertical="center"/>
    </xf>
    <xf numFmtId="0" fontId="19" fillId="5" borderId="3" xfId="0" applyFont="1" applyFill="1" applyBorder="1" applyAlignment="1">
      <alignment horizontal="left" vertical="center" wrapText="1"/>
    </xf>
    <xf numFmtId="0" fontId="3" fillId="5" borderId="23" xfId="0" applyFont="1" applyFill="1" applyBorder="1" applyAlignment="1">
      <alignment horizontal="left" vertical="center" wrapText="1"/>
    </xf>
    <xf numFmtId="0" fontId="21" fillId="5" borderId="5" xfId="2" applyFont="1" applyFill="1" applyBorder="1" applyAlignment="1">
      <alignment horizontal="left" vertical="center" wrapText="1"/>
    </xf>
    <xf numFmtId="0" fontId="21" fillId="5" borderId="1" xfId="2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vertical="center"/>
    </xf>
    <xf numFmtId="0" fontId="4" fillId="5" borderId="9" xfId="0" applyFont="1" applyFill="1" applyBorder="1" applyAlignment="1">
      <alignment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1" fontId="0" fillId="8" borderId="1" xfId="0" applyNumberFormat="1" applyFill="1" applyBorder="1" applyAlignment="1">
      <alignment horizontal="right" vertical="center" wrapText="1"/>
    </xf>
    <xf numFmtId="1" fontId="11" fillId="8" borderId="8" xfId="0" applyNumberFormat="1" applyFont="1" applyFill="1" applyBorder="1" applyAlignment="1">
      <alignment horizontal="right" vertical="center" wrapText="1"/>
    </xf>
    <xf numFmtId="0" fontId="0" fillId="5" borderId="3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21" fillId="5" borderId="18" xfId="2" applyFont="1" applyFill="1" applyBorder="1" applyAlignment="1">
      <alignment vertical="center" wrapText="1"/>
    </xf>
    <xf numFmtId="0" fontId="12" fillId="5" borderId="3" xfId="0" applyFont="1" applyFill="1" applyBorder="1" applyAlignment="1"/>
    <xf numFmtId="0" fontId="0" fillId="5" borderId="0" xfId="0" applyFill="1" applyAlignment="1"/>
    <xf numFmtId="0" fontId="0" fillId="3" borderId="0" xfId="0" applyFill="1" applyAlignment="1"/>
    <xf numFmtId="0" fontId="0" fillId="5" borderId="5" xfId="0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/>
    <xf numFmtId="0" fontId="0" fillId="5" borderId="2" xfId="0" applyFill="1" applyBorder="1" applyAlignment="1"/>
    <xf numFmtId="0" fontId="0" fillId="5" borderId="10" xfId="0" applyFill="1" applyBorder="1" applyAlignment="1">
      <alignment horizontal="center" vertical="center"/>
    </xf>
    <xf numFmtId="0" fontId="0" fillId="0" borderId="0" xfId="0" applyAlignment="1"/>
    <xf numFmtId="0" fontId="4" fillId="5" borderId="5" xfId="0" applyFont="1" applyFill="1" applyBorder="1" applyAlignment="1">
      <alignment horizontal="left" vertical="center"/>
    </xf>
    <xf numFmtId="0" fontId="0" fillId="5" borderId="24" xfId="0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5" borderId="4" xfId="0" applyFill="1" applyBorder="1" applyAlignment="1">
      <alignment vertical="center"/>
    </xf>
    <xf numFmtId="0" fontId="13" fillId="5" borderId="1" xfId="2" applyFont="1" applyFill="1" applyBorder="1" applyAlignment="1">
      <alignment horizontal="left" vertical="center"/>
    </xf>
    <xf numFmtId="0" fontId="0" fillId="0" borderId="1" xfId="0" applyBorder="1"/>
    <xf numFmtId="0" fontId="4" fillId="5" borderId="5" xfId="0" applyFont="1" applyFill="1" applyBorder="1" applyAlignment="1">
      <alignment vertical="center"/>
    </xf>
    <xf numFmtId="0" fontId="1" fillId="5" borderId="1" xfId="2" applyFill="1" applyBorder="1" applyAlignment="1">
      <alignment wrapText="1"/>
    </xf>
    <xf numFmtId="0" fontId="0" fillId="5" borderId="6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0" fontId="0" fillId="8" borderId="5" xfId="0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vertical="center"/>
    </xf>
    <xf numFmtId="0" fontId="4" fillId="7" borderId="1" xfId="0" applyFont="1" applyFill="1" applyBorder="1" applyAlignment="1">
      <alignment wrapText="1"/>
    </xf>
    <xf numFmtId="0" fontId="14" fillId="7" borderId="10" xfId="0" applyFont="1" applyFill="1" applyBorder="1" applyAlignment="1">
      <alignment horizontal="left" vertical="center"/>
    </xf>
    <xf numFmtId="0" fontId="4" fillId="7" borderId="2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wrapText="1"/>
    </xf>
    <xf numFmtId="0" fontId="4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7" borderId="5" xfId="0" applyFill="1" applyBorder="1" applyAlignment="1">
      <alignment vertical="center"/>
    </xf>
    <xf numFmtId="0" fontId="4" fillId="7" borderId="2" xfId="0" applyFont="1" applyFill="1" applyBorder="1" applyAlignment="1">
      <alignment wrapText="1"/>
    </xf>
    <xf numFmtId="0" fontId="4" fillId="7" borderId="3" xfId="0" applyFont="1" applyFill="1" applyBorder="1" applyAlignment="1">
      <alignment vertical="center"/>
    </xf>
    <xf numFmtId="0" fontId="0" fillId="7" borderId="2" xfId="0" applyFill="1" applyBorder="1" applyAlignment="1">
      <alignment wrapText="1"/>
    </xf>
    <xf numFmtId="0" fontId="0" fillId="7" borderId="10" xfId="0" applyFill="1" applyBorder="1" applyAlignment="1">
      <alignment vertical="center"/>
    </xf>
    <xf numFmtId="0" fontId="4" fillId="7" borderId="10" xfId="0" applyFont="1" applyFill="1" applyBorder="1" applyAlignment="1">
      <alignment wrapText="1"/>
    </xf>
    <xf numFmtId="0" fontId="4" fillId="7" borderId="10" xfId="0" applyFont="1" applyFill="1" applyBorder="1" applyAlignment="1">
      <alignment vertical="center"/>
    </xf>
    <xf numFmtId="0" fontId="0" fillId="7" borderId="10" xfId="0" applyFill="1" applyBorder="1" applyAlignment="1">
      <alignment wrapText="1"/>
    </xf>
    <xf numFmtId="0" fontId="0" fillId="7" borderId="3" xfId="0" applyFill="1" applyBorder="1" applyAlignment="1">
      <alignment vertical="center"/>
    </xf>
    <xf numFmtId="0" fontId="5" fillId="7" borderId="1" xfId="1" applyFont="1" applyFill="1" applyBorder="1" applyAlignment="1">
      <alignment wrapText="1"/>
    </xf>
    <xf numFmtId="0" fontId="4" fillId="7" borderId="1" xfId="1" applyFont="1" applyFill="1" applyBorder="1" applyAlignment="1">
      <alignment vertical="center" wrapText="1"/>
    </xf>
    <xf numFmtId="0" fontId="0" fillId="7" borderId="24" xfId="0" applyFill="1" applyBorder="1" applyAlignment="1">
      <alignment vertical="center"/>
    </xf>
    <xf numFmtId="0" fontId="0" fillId="7" borderId="1" xfId="0" applyFill="1" applyBorder="1" applyAlignment="1">
      <alignment wrapText="1"/>
    </xf>
    <xf numFmtId="0" fontId="20" fillId="7" borderId="1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/>
    </xf>
    <xf numFmtId="0" fontId="17" fillId="7" borderId="1" xfId="0" applyFont="1" applyFill="1" applyBorder="1" applyAlignment="1"/>
    <xf numFmtId="0" fontId="4" fillId="11" borderId="7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4" fillId="11" borderId="29" xfId="0" applyFont="1" applyFill="1" applyBorder="1" applyAlignment="1">
      <alignment horizontal="center" vertical="center" wrapText="1"/>
    </xf>
    <xf numFmtId="0" fontId="4" fillId="11" borderId="29" xfId="1" applyFont="1" applyFill="1" applyBorder="1" applyAlignment="1">
      <alignment horizontal="center" vertical="center" wrapText="1"/>
    </xf>
    <xf numFmtId="0" fontId="4" fillId="11" borderId="30" xfId="1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1" fontId="0" fillId="11" borderId="2" xfId="0" applyNumberFormat="1" applyFill="1" applyBorder="1" applyAlignment="1">
      <alignment horizontal="center" vertical="center" wrapText="1"/>
    </xf>
    <xf numFmtId="1" fontId="0" fillId="11" borderId="2" xfId="0" applyNumberForma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1" fontId="11" fillId="10" borderId="6" xfId="0" applyNumberFormat="1" applyFont="1" applyFill="1" applyBorder="1" applyAlignment="1">
      <alignment horizontal="center" vertical="center" wrapText="1"/>
    </xf>
    <xf numFmtId="1" fontId="11" fillId="10" borderId="8" xfId="0" applyNumberFormat="1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3" fillId="8" borderId="18" xfId="0" applyFont="1" applyFill="1" applyBorder="1" applyAlignment="1">
      <alignment horizontal="center" wrapText="1"/>
    </xf>
    <xf numFmtId="0" fontId="3" fillId="8" borderId="25" xfId="0" applyFont="1" applyFill="1" applyBorder="1" applyAlignment="1">
      <alignment horizontal="center" wrapText="1"/>
    </xf>
    <xf numFmtId="0" fontId="3" fillId="8" borderId="7" xfId="0" applyFont="1" applyFill="1" applyBorder="1" applyAlignment="1">
      <alignment horizontal="center" wrapText="1"/>
    </xf>
    <xf numFmtId="0" fontId="3" fillId="8" borderId="8" xfId="0" applyFont="1" applyFill="1" applyBorder="1" applyAlignment="1">
      <alignment horizontal="center" wrapText="1"/>
    </xf>
    <xf numFmtId="0" fontId="3" fillId="8" borderId="26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horizont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1" fontId="11" fillId="10" borderId="11" xfId="0" applyNumberFormat="1" applyFont="1" applyFill="1" applyBorder="1" applyAlignment="1">
      <alignment horizontal="center" vertical="center" wrapText="1"/>
    </xf>
    <xf numFmtId="1" fontId="11" fillId="10" borderId="22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wrapText="1"/>
    </xf>
    <xf numFmtId="0" fontId="5" fillId="5" borderId="6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wrapText="1"/>
    </xf>
    <xf numFmtId="0" fontId="0" fillId="5" borderId="12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0" fillId="11" borderId="17" xfId="0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0" fillId="10" borderId="14" xfId="0" applyFill="1" applyBorder="1" applyAlignment="1">
      <alignment horizont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5" borderId="4" xfId="0" applyFill="1" applyBorder="1" applyAlignment="1">
      <alignment wrapText="1"/>
    </xf>
    <xf numFmtId="0" fontId="4" fillId="5" borderId="6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wrapText="1"/>
    </xf>
    <xf numFmtId="0" fontId="3" fillId="7" borderId="3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11" borderId="1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wrapText="1"/>
    </xf>
    <xf numFmtId="0" fontId="0" fillId="7" borderId="14" xfId="0" applyFill="1" applyBorder="1" applyAlignment="1">
      <alignment horizontal="center" wrapText="1"/>
    </xf>
    <xf numFmtId="0" fontId="0" fillId="7" borderId="8" xfId="0" applyFill="1" applyBorder="1" applyAlignment="1">
      <alignment horizontal="center" wrapText="1"/>
    </xf>
    <xf numFmtId="0" fontId="0" fillId="7" borderId="4" xfId="0" applyFill="1" applyBorder="1" applyAlignment="1">
      <alignment wrapText="1"/>
    </xf>
    <xf numFmtId="0" fontId="0" fillId="7" borderId="5" xfId="0" applyFill="1" applyBorder="1" applyAlignment="1">
      <alignment wrapText="1"/>
    </xf>
    <xf numFmtId="0" fontId="4" fillId="7" borderId="6" xfId="0" applyFont="1" applyFill="1" applyBorder="1" applyAlignment="1">
      <alignment horizontal="center" vertical="center" wrapText="1"/>
    </xf>
    <xf numFmtId="0" fontId="0" fillId="7" borderId="14" xfId="0" applyFill="1" applyBorder="1" applyAlignment="1">
      <alignment wrapText="1"/>
    </xf>
    <xf numFmtId="0" fontId="0" fillId="7" borderId="8" xfId="0" applyFill="1" applyBorder="1" applyAlignment="1">
      <alignment wrapText="1"/>
    </xf>
    <xf numFmtId="0" fontId="5" fillId="7" borderId="1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wrapText="1"/>
    </xf>
    <xf numFmtId="0" fontId="3" fillId="7" borderId="1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wrapText="1"/>
    </xf>
    <xf numFmtId="0" fontId="11" fillId="7" borderId="5" xfId="0" applyFont="1" applyFill="1" applyBorder="1" applyAlignment="1">
      <alignment horizontal="left" wrapText="1"/>
    </xf>
    <xf numFmtId="0" fontId="5" fillId="7" borderId="6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11" fillId="7" borderId="8" xfId="0" applyFont="1" applyFill="1" applyBorder="1" applyAlignment="1">
      <alignment horizontal="left" wrapText="1"/>
    </xf>
    <xf numFmtId="0" fontId="4" fillId="5" borderId="10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2" fillId="5" borderId="12" xfId="1" applyFill="1" applyBorder="1" applyAlignment="1">
      <alignment horizontal="center" vertical="center" wrapText="1"/>
    </xf>
    <xf numFmtId="0" fontId="2" fillId="5" borderId="15" xfId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3" fillId="10" borderId="21" xfId="0" applyFont="1" applyFill="1" applyBorder="1" applyAlignment="1">
      <alignment horizontal="center" vertical="center" wrapText="1"/>
    </xf>
    <xf numFmtId="0" fontId="3" fillId="10" borderId="2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wrapText="1"/>
    </xf>
    <xf numFmtId="0" fontId="3" fillId="7" borderId="10" xfId="0" applyFont="1" applyFill="1" applyBorder="1" applyAlignment="1">
      <alignment horizontal="left" vertical="center" wrapText="1"/>
    </xf>
    <xf numFmtId="0" fontId="11" fillId="7" borderId="10" xfId="0" applyFont="1" applyFill="1" applyBorder="1" applyAlignment="1">
      <alignment horizontal="left" wrapText="1"/>
    </xf>
    <xf numFmtId="0" fontId="4" fillId="7" borderId="10" xfId="0" applyFont="1" applyFill="1" applyBorder="1" applyAlignment="1">
      <alignment horizontal="center" vertical="center" wrapText="1"/>
    </xf>
    <xf numFmtId="0" fontId="0" fillId="7" borderId="10" xfId="0" applyFill="1" applyBorder="1" applyAlignment="1">
      <alignment wrapText="1"/>
    </xf>
    <xf numFmtId="0" fontId="5" fillId="7" borderId="27" xfId="0" applyFont="1" applyFill="1" applyBorder="1" applyAlignment="1">
      <alignment horizontal="center" vertical="center" wrapText="1"/>
    </xf>
    <xf numFmtId="0" fontId="0" fillId="7" borderId="27" xfId="0" applyFill="1" applyBorder="1" applyAlignment="1">
      <alignment wrapText="1"/>
    </xf>
    <xf numFmtId="0" fontId="4" fillId="11" borderId="19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wrapText="1"/>
    </xf>
    <xf numFmtId="0" fontId="4" fillId="5" borderId="18" xfId="0" applyFon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wrapText="1"/>
    </xf>
    <xf numFmtId="0" fontId="6" fillId="10" borderId="11" xfId="0" applyFont="1" applyFill="1" applyBorder="1" applyAlignment="1">
      <alignment horizontal="center" vertical="center" wrapText="1"/>
    </xf>
    <xf numFmtId="0" fontId="6" fillId="10" borderId="16" xfId="0" applyFont="1" applyFill="1" applyBorder="1" applyAlignment="1">
      <alignment horizontal="center" vertical="center" wrapText="1"/>
    </xf>
  </cellXfs>
  <cellStyles count="3">
    <cellStyle name="Neutral" xfId="1" builtinId="2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BD5EB4-0E0F-4A6F-BB13-FFCBA010B40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5ae6e7c-9c63-45a2-93c9-0a6dce50b36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D1001"/>
  <sheetViews>
    <sheetView tabSelected="1" zoomScale="94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5" sqref="J15"/>
    </sheetView>
  </sheetViews>
  <sheetFormatPr defaultColWidth="14.44140625" defaultRowHeight="15" customHeight="1" x14ac:dyDescent="0.3"/>
  <cols>
    <col min="1" max="1" width="7.5546875" style="2" customWidth="1"/>
    <col min="2" max="2" width="39.109375" customWidth="1"/>
    <col min="3" max="3" width="46.109375" bestFit="1" customWidth="1"/>
    <col min="4" max="4" width="20.88671875" hidden="1" customWidth="1"/>
    <col min="5" max="5" width="19.6640625" customWidth="1"/>
    <col min="6" max="6" width="18.44140625" bestFit="1" customWidth="1"/>
    <col min="7" max="7" width="11.109375" customWidth="1"/>
    <col min="8" max="9" width="13.33203125" bestFit="1" customWidth="1"/>
    <col min="10" max="10" width="13.88671875" customWidth="1"/>
    <col min="11" max="11" width="11" bestFit="1" customWidth="1"/>
    <col min="12" max="12" width="9.6640625" bestFit="1" customWidth="1"/>
    <col min="13" max="13" width="11" customWidth="1"/>
    <col min="14" max="14" width="71.44140625" customWidth="1"/>
  </cols>
  <sheetData>
    <row r="1" spans="1:56" s="2" customFormat="1" ht="30.75" customHeight="1" x14ac:dyDescent="0.3">
      <c r="A1" s="59" t="s">
        <v>0</v>
      </c>
      <c r="B1" s="60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0" t="s">
        <v>6</v>
      </c>
      <c r="H1" s="60" t="s">
        <v>7</v>
      </c>
      <c r="I1" s="60" t="s">
        <v>89</v>
      </c>
      <c r="J1" s="60" t="s">
        <v>8</v>
      </c>
      <c r="K1" s="60" t="s">
        <v>9</v>
      </c>
      <c r="L1" s="61" t="s">
        <v>10</v>
      </c>
      <c r="M1" s="61" t="s">
        <v>11</v>
      </c>
      <c r="N1" s="61" t="s">
        <v>12</v>
      </c>
      <c r="O1" s="39" t="s">
        <v>13</v>
      </c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</row>
    <row r="2" spans="1:56" ht="14.4" x14ac:dyDescent="0.3">
      <c r="A2" s="181">
        <v>1</v>
      </c>
      <c r="B2" s="88" t="s">
        <v>14</v>
      </c>
      <c r="C2" s="90" t="s">
        <v>15</v>
      </c>
      <c r="D2" s="91" t="s">
        <v>13</v>
      </c>
      <c r="E2" s="181" t="s">
        <v>16</v>
      </c>
      <c r="F2" s="183" t="s">
        <v>17</v>
      </c>
      <c r="G2" s="95">
        <v>14</v>
      </c>
      <c r="H2" s="95">
        <v>0</v>
      </c>
      <c r="I2" s="95"/>
      <c r="J2" s="95">
        <v>10</v>
      </c>
      <c r="K2" s="95">
        <v>15</v>
      </c>
      <c r="L2" s="170">
        <f>SUM(G2:K3)</f>
        <v>69</v>
      </c>
      <c r="M2" s="230">
        <f>SUM(L2:L4)</f>
        <v>118</v>
      </c>
      <c r="N2" s="229"/>
      <c r="O2" s="5" t="s">
        <v>13</v>
      </c>
      <c r="P2" s="5" t="s">
        <v>13</v>
      </c>
      <c r="Q2" s="5" t="s">
        <v>13</v>
      </c>
      <c r="R2" s="5" t="s">
        <v>13</v>
      </c>
      <c r="S2" s="5" t="s">
        <v>13</v>
      </c>
      <c r="T2" s="5" t="s">
        <v>13</v>
      </c>
      <c r="U2" s="5" t="s">
        <v>13</v>
      </c>
      <c r="V2" s="5" t="s">
        <v>13</v>
      </c>
      <c r="W2" s="5" t="s">
        <v>13</v>
      </c>
      <c r="X2" s="5" t="s">
        <v>13</v>
      </c>
      <c r="Y2" s="5" t="s">
        <v>13</v>
      </c>
      <c r="Z2" s="5" t="s">
        <v>13</v>
      </c>
      <c r="AA2" s="5" t="s">
        <v>13</v>
      </c>
      <c r="AB2" s="5" t="s">
        <v>13</v>
      </c>
      <c r="AC2" s="5" t="s">
        <v>13</v>
      </c>
      <c r="AD2" s="5" t="s">
        <v>13</v>
      </c>
    </row>
    <row r="3" spans="1:56" ht="14.4" customHeight="1" x14ac:dyDescent="0.3">
      <c r="A3" s="182"/>
      <c r="B3" s="89"/>
      <c r="C3" s="92" t="s">
        <v>18</v>
      </c>
      <c r="D3" s="91" t="s">
        <v>13</v>
      </c>
      <c r="E3" s="182"/>
      <c r="F3" s="184"/>
      <c r="G3" s="95">
        <v>0</v>
      </c>
      <c r="H3" s="95">
        <v>30</v>
      </c>
      <c r="I3" s="95"/>
      <c r="J3" s="95">
        <v>0</v>
      </c>
      <c r="K3" s="95">
        <v>0</v>
      </c>
      <c r="L3" s="171"/>
      <c r="M3" s="231"/>
      <c r="N3" s="144"/>
      <c r="O3" s="5" t="s">
        <v>13</v>
      </c>
      <c r="P3" s="5" t="s">
        <v>13</v>
      </c>
      <c r="Q3" s="5" t="s">
        <v>13</v>
      </c>
      <c r="R3" s="5" t="s">
        <v>13</v>
      </c>
      <c r="S3" s="5" t="s">
        <v>13</v>
      </c>
      <c r="T3" s="5" t="s">
        <v>13</v>
      </c>
      <c r="U3" s="5" t="s">
        <v>13</v>
      </c>
      <c r="V3" s="5" t="s">
        <v>13</v>
      </c>
      <c r="W3" s="5" t="s">
        <v>13</v>
      </c>
      <c r="X3" s="5" t="s">
        <v>13</v>
      </c>
      <c r="Y3" s="5" t="s">
        <v>13</v>
      </c>
      <c r="Z3" s="5" t="s">
        <v>13</v>
      </c>
      <c r="AA3" s="5" t="s">
        <v>13</v>
      </c>
      <c r="AB3" s="5" t="s">
        <v>13</v>
      </c>
      <c r="AC3" s="5" t="s">
        <v>13</v>
      </c>
      <c r="AD3" s="5" t="s">
        <v>13</v>
      </c>
    </row>
    <row r="4" spans="1:56" ht="14.4" customHeight="1" x14ac:dyDescent="0.3">
      <c r="A4" s="182"/>
      <c r="B4" s="88" t="s">
        <v>19</v>
      </c>
      <c r="C4" s="93" t="s">
        <v>20</v>
      </c>
      <c r="D4" s="94" t="s">
        <v>13</v>
      </c>
      <c r="E4" s="182"/>
      <c r="F4" s="184"/>
      <c r="G4" s="95">
        <v>10</v>
      </c>
      <c r="H4" s="95">
        <v>0</v>
      </c>
      <c r="I4" s="95"/>
      <c r="J4" s="95">
        <v>30</v>
      </c>
      <c r="K4" s="96">
        <v>9</v>
      </c>
      <c r="L4" s="120">
        <f t="shared" ref="L4:L25" si="0">SUM(G4:K4)</f>
        <v>49</v>
      </c>
      <c r="M4" s="231"/>
      <c r="N4" s="144"/>
      <c r="O4" s="5" t="s">
        <v>13</v>
      </c>
      <c r="P4" s="5" t="s">
        <v>13</v>
      </c>
      <c r="Q4" s="5" t="s">
        <v>13</v>
      </c>
      <c r="R4" s="5" t="s">
        <v>13</v>
      </c>
      <c r="S4" s="5" t="s">
        <v>13</v>
      </c>
      <c r="T4" s="5" t="s">
        <v>13</v>
      </c>
      <c r="U4" s="5" t="s">
        <v>13</v>
      </c>
      <c r="V4" s="5" t="s">
        <v>13</v>
      </c>
      <c r="W4" s="5" t="s">
        <v>13</v>
      </c>
      <c r="X4" s="5" t="s">
        <v>13</v>
      </c>
      <c r="Y4" s="5" t="s">
        <v>13</v>
      </c>
      <c r="Z4" s="5" t="s">
        <v>13</v>
      </c>
      <c r="AA4" s="5" t="s">
        <v>13</v>
      </c>
      <c r="AB4" s="5" t="s">
        <v>13</v>
      </c>
      <c r="AC4" s="5" t="s">
        <v>13</v>
      </c>
      <c r="AD4" s="5" t="s">
        <v>13</v>
      </c>
    </row>
    <row r="5" spans="1:56" s="82" customFormat="1" ht="14.4" x14ac:dyDescent="0.3">
      <c r="A5" s="229">
        <v>2</v>
      </c>
      <c r="B5" s="50" t="s">
        <v>21</v>
      </c>
      <c r="C5" s="57" t="s">
        <v>22</v>
      </c>
      <c r="D5" s="9" t="s">
        <v>13</v>
      </c>
      <c r="E5" s="229" t="s">
        <v>23</v>
      </c>
      <c r="F5" s="232" t="s">
        <v>24</v>
      </c>
      <c r="G5" s="29">
        <v>16</v>
      </c>
      <c r="H5" s="29">
        <v>8</v>
      </c>
      <c r="I5" s="29"/>
      <c r="J5" s="29">
        <v>8</v>
      </c>
      <c r="K5" s="47">
        <v>8</v>
      </c>
      <c r="L5" s="170">
        <f>SUM(G5:K6)</f>
        <v>120</v>
      </c>
      <c r="M5" s="230">
        <f>SUM(L5:L6)</f>
        <v>120</v>
      </c>
      <c r="N5" s="229" t="s">
        <v>25</v>
      </c>
      <c r="O5" s="9" t="s">
        <v>13</v>
      </c>
      <c r="P5" s="9" t="s">
        <v>13</v>
      </c>
      <c r="Q5" s="9" t="s">
        <v>13</v>
      </c>
      <c r="R5" s="9" t="s">
        <v>13</v>
      </c>
      <c r="S5" s="9" t="s">
        <v>13</v>
      </c>
      <c r="T5" s="9" t="s">
        <v>13</v>
      </c>
      <c r="U5" s="9" t="s">
        <v>13</v>
      </c>
      <c r="V5" s="9" t="s">
        <v>13</v>
      </c>
      <c r="W5" s="9" t="s">
        <v>13</v>
      </c>
      <c r="X5" s="9" t="s">
        <v>13</v>
      </c>
      <c r="Y5" s="9" t="s">
        <v>13</v>
      </c>
      <c r="Z5" s="9" t="s">
        <v>13</v>
      </c>
      <c r="AA5" s="9" t="s">
        <v>13</v>
      </c>
      <c r="AB5" s="9" t="s">
        <v>13</v>
      </c>
      <c r="AC5" s="9" t="s">
        <v>13</v>
      </c>
      <c r="AD5" s="9" t="s">
        <v>13</v>
      </c>
    </row>
    <row r="6" spans="1:56" s="4" customFormat="1" ht="18" customHeight="1" x14ac:dyDescent="0.3">
      <c r="A6" s="145"/>
      <c r="B6" s="49" t="s">
        <v>26</v>
      </c>
      <c r="C6" s="83" t="s">
        <v>27</v>
      </c>
      <c r="D6" s="58" t="s">
        <v>13</v>
      </c>
      <c r="E6" s="145"/>
      <c r="F6" s="213"/>
      <c r="G6" s="29">
        <v>0</v>
      </c>
      <c r="H6" s="29">
        <v>32</v>
      </c>
      <c r="I6" s="29"/>
      <c r="J6" s="29">
        <v>32</v>
      </c>
      <c r="K6" s="47">
        <f>24-K5</f>
        <v>16</v>
      </c>
      <c r="L6" s="171"/>
      <c r="M6" s="233"/>
      <c r="N6" s="144"/>
      <c r="O6" s="5" t="s">
        <v>13</v>
      </c>
      <c r="P6" s="5" t="s">
        <v>13</v>
      </c>
      <c r="Q6" s="5" t="s">
        <v>13</v>
      </c>
      <c r="R6" s="5" t="s">
        <v>13</v>
      </c>
      <c r="S6" s="5" t="s">
        <v>13</v>
      </c>
      <c r="T6" s="5" t="s">
        <v>13</v>
      </c>
      <c r="U6" s="5" t="s">
        <v>13</v>
      </c>
      <c r="V6" s="5" t="s">
        <v>13</v>
      </c>
      <c r="W6" s="5" t="s">
        <v>13</v>
      </c>
      <c r="X6" s="5" t="s">
        <v>13</v>
      </c>
      <c r="Y6" s="5" t="s">
        <v>13</v>
      </c>
      <c r="Z6" s="5" t="s">
        <v>13</v>
      </c>
      <c r="AA6" s="5" t="s">
        <v>13</v>
      </c>
      <c r="AB6" s="5" t="s">
        <v>13</v>
      </c>
      <c r="AC6" s="5" t="s">
        <v>13</v>
      </c>
      <c r="AD6" s="5" t="s">
        <v>13</v>
      </c>
    </row>
    <row r="7" spans="1:56" s="4" customFormat="1" ht="14.4" customHeight="1" x14ac:dyDescent="0.3">
      <c r="A7" s="198">
        <v>3</v>
      </c>
      <c r="B7" s="204" t="s">
        <v>28</v>
      </c>
      <c r="C7" s="97" t="s">
        <v>29</v>
      </c>
      <c r="D7" s="98" t="s">
        <v>13</v>
      </c>
      <c r="E7" s="189" t="s">
        <v>30</v>
      </c>
      <c r="F7" s="203" t="s">
        <v>31</v>
      </c>
      <c r="G7" s="96">
        <v>12</v>
      </c>
      <c r="H7" s="96">
        <v>16</v>
      </c>
      <c r="I7" s="96"/>
      <c r="J7" s="96">
        <v>2</v>
      </c>
      <c r="K7" s="96">
        <v>0</v>
      </c>
      <c r="L7" s="170">
        <f>SUM(G7:K8)</f>
        <v>60</v>
      </c>
      <c r="M7" s="172">
        <f>SUM(L7:L8)</f>
        <v>60</v>
      </c>
      <c r="N7" s="206"/>
      <c r="O7" s="5" t="s">
        <v>13</v>
      </c>
      <c r="P7" s="5" t="s">
        <v>13</v>
      </c>
      <c r="Q7" s="5" t="s">
        <v>13</v>
      </c>
      <c r="R7" s="5" t="s">
        <v>13</v>
      </c>
      <c r="S7" s="5" t="s">
        <v>13</v>
      </c>
      <c r="T7" s="5" t="s">
        <v>13</v>
      </c>
      <c r="U7" s="5" t="s">
        <v>13</v>
      </c>
      <c r="V7" s="5" t="s">
        <v>13</v>
      </c>
      <c r="W7" s="5" t="s">
        <v>13</v>
      </c>
      <c r="X7" s="5" t="s">
        <v>13</v>
      </c>
      <c r="Y7" s="5" t="s">
        <v>13</v>
      </c>
      <c r="Z7" s="5" t="s">
        <v>13</v>
      </c>
      <c r="AA7" s="5" t="s">
        <v>13</v>
      </c>
      <c r="AB7" s="5" t="s">
        <v>13</v>
      </c>
      <c r="AC7" s="5" t="s">
        <v>13</v>
      </c>
      <c r="AD7" s="5" t="s">
        <v>13</v>
      </c>
    </row>
    <row r="8" spans="1:56" s="3" customFormat="1" ht="14.4" customHeight="1" x14ac:dyDescent="0.3">
      <c r="A8" s="199"/>
      <c r="B8" s="205"/>
      <c r="C8" s="99" t="s">
        <v>32</v>
      </c>
      <c r="D8" s="100"/>
      <c r="E8" s="194"/>
      <c r="F8" s="197"/>
      <c r="G8" s="96">
        <v>0</v>
      </c>
      <c r="H8" s="96">
        <v>0</v>
      </c>
      <c r="I8" s="96"/>
      <c r="J8" s="96">
        <v>18</v>
      </c>
      <c r="K8" s="96">
        <v>12</v>
      </c>
      <c r="L8" s="171"/>
      <c r="M8" s="173"/>
      <c r="N8" s="206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56" s="3" customFormat="1" ht="14.4" customHeight="1" x14ac:dyDescent="0.3">
      <c r="A9" s="207">
        <v>4</v>
      </c>
      <c r="B9" s="51" t="s">
        <v>33</v>
      </c>
      <c r="C9" s="40" t="s">
        <v>34</v>
      </c>
      <c r="D9" s="9" t="s">
        <v>13</v>
      </c>
      <c r="E9" s="229" t="s">
        <v>35</v>
      </c>
      <c r="F9" s="232" t="s">
        <v>36</v>
      </c>
      <c r="G9" s="29">
        <v>0</v>
      </c>
      <c r="H9" s="29">
        <v>6</v>
      </c>
      <c r="I9" s="29"/>
      <c r="J9" s="29">
        <v>8</v>
      </c>
      <c r="K9" s="29">
        <v>0</v>
      </c>
      <c r="L9" s="170">
        <f>SUM(G9:K10)</f>
        <v>104</v>
      </c>
      <c r="M9" s="234">
        <f>L9</f>
        <v>104</v>
      </c>
      <c r="N9" s="167"/>
      <c r="O9" s="5" t="s">
        <v>13</v>
      </c>
      <c r="P9" s="5" t="s">
        <v>13</v>
      </c>
      <c r="Q9" s="5" t="s">
        <v>13</v>
      </c>
      <c r="R9" s="5" t="s">
        <v>13</v>
      </c>
      <c r="S9" s="5" t="s">
        <v>13</v>
      </c>
      <c r="T9" s="5" t="s">
        <v>13</v>
      </c>
      <c r="U9" s="5" t="s">
        <v>13</v>
      </c>
      <c r="V9" s="5" t="s">
        <v>13</v>
      </c>
      <c r="W9" s="5" t="s">
        <v>13</v>
      </c>
      <c r="X9" s="5" t="s">
        <v>13</v>
      </c>
      <c r="Y9" s="5" t="s">
        <v>13</v>
      </c>
      <c r="Z9" s="5" t="s">
        <v>13</v>
      </c>
      <c r="AA9" s="5" t="s">
        <v>13</v>
      </c>
      <c r="AB9" s="5" t="s">
        <v>13</v>
      </c>
      <c r="AC9" s="5" t="s">
        <v>13</v>
      </c>
      <c r="AD9" s="5" t="s">
        <v>13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</row>
    <row r="10" spans="1:56" s="3" customFormat="1" ht="15" customHeight="1" x14ac:dyDescent="0.3">
      <c r="A10" s="208"/>
      <c r="B10" s="52" t="s">
        <v>26</v>
      </c>
      <c r="C10" s="41" t="s">
        <v>37</v>
      </c>
      <c r="D10" s="42"/>
      <c r="E10" s="144"/>
      <c r="F10" s="212"/>
      <c r="G10" s="29">
        <v>0</v>
      </c>
      <c r="H10" s="29">
        <v>34</v>
      </c>
      <c r="I10" s="29"/>
      <c r="J10" s="29">
        <v>32</v>
      </c>
      <c r="K10" s="29">
        <v>24</v>
      </c>
      <c r="L10" s="188"/>
      <c r="M10" s="235"/>
      <c r="N10" s="18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</row>
    <row r="11" spans="1:56" s="3" customFormat="1" ht="14.4" customHeight="1" x14ac:dyDescent="0.3">
      <c r="A11" s="218">
        <v>5</v>
      </c>
      <c r="B11" s="220" t="s">
        <v>28</v>
      </c>
      <c r="C11" s="101" t="s">
        <v>29</v>
      </c>
      <c r="D11" s="102" t="s">
        <v>13</v>
      </c>
      <c r="E11" s="222" t="s">
        <v>38</v>
      </c>
      <c r="F11" s="224" t="s">
        <v>31</v>
      </c>
      <c r="G11" s="96">
        <v>12</v>
      </c>
      <c r="H11" s="96">
        <v>16</v>
      </c>
      <c r="I11" s="96"/>
      <c r="J11" s="96">
        <v>2</v>
      </c>
      <c r="K11" s="96">
        <v>0</v>
      </c>
      <c r="L11" s="226">
        <f>SUM(G11:K12)</f>
        <v>60</v>
      </c>
      <c r="M11" s="227">
        <f>SUM(L11:L12)</f>
        <v>60</v>
      </c>
      <c r="N11" s="206"/>
      <c r="O11" s="5" t="s">
        <v>13</v>
      </c>
      <c r="P11" s="5" t="s">
        <v>13</v>
      </c>
      <c r="Q11" s="5" t="s">
        <v>13</v>
      </c>
      <c r="R11" s="5" t="s">
        <v>13</v>
      </c>
      <c r="S11" s="5" t="s">
        <v>13</v>
      </c>
      <c r="T11" s="5" t="s">
        <v>13</v>
      </c>
      <c r="U11" s="5" t="s">
        <v>13</v>
      </c>
      <c r="V11" s="5" t="s">
        <v>13</v>
      </c>
      <c r="W11" s="5" t="s">
        <v>13</v>
      </c>
      <c r="X11" s="5" t="s">
        <v>13</v>
      </c>
      <c r="Y11" s="5" t="s">
        <v>13</v>
      </c>
      <c r="Z11" s="5" t="s">
        <v>13</v>
      </c>
      <c r="AA11" s="5" t="s">
        <v>13</v>
      </c>
      <c r="AB11" s="5" t="s">
        <v>13</v>
      </c>
      <c r="AC11" s="5" t="s">
        <v>13</v>
      </c>
      <c r="AD11" s="5" t="s">
        <v>13</v>
      </c>
    </row>
    <row r="12" spans="1:56" s="3" customFormat="1" ht="14.4" customHeight="1" x14ac:dyDescent="0.3">
      <c r="A12" s="219"/>
      <c r="B12" s="221"/>
      <c r="C12" s="103" t="s">
        <v>32</v>
      </c>
      <c r="D12" s="104"/>
      <c r="E12" s="223"/>
      <c r="F12" s="225"/>
      <c r="G12" s="96">
        <v>0</v>
      </c>
      <c r="H12" s="96">
        <v>0</v>
      </c>
      <c r="I12" s="96"/>
      <c r="J12" s="96">
        <v>18</v>
      </c>
      <c r="K12" s="96">
        <v>12</v>
      </c>
      <c r="L12" s="226"/>
      <c r="M12" s="228"/>
      <c r="N12" s="206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56" s="6" customFormat="1" ht="14.4" x14ac:dyDescent="0.3">
      <c r="A13" s="143">
        <v>6</v>
      </c>
      <c r="B13" s="53" t="s">
        <v>21</v>
      </c>
      <c r="C13" s="77" t="s">
        <v>22</v>
      </c>
      <c r="D13" s="43" t="s">
        <v>13</v>
      </c>
      <c r="E13" s="143" t="s">
        <v>39</v>
      </c>
      <c r="F13" s="211" t="s">
        <v>31</v>
      </c>
      <c r="G13" s="29">
        <v>12</v>
      </c>
      <c r="H13" s="29">
        <v>8</v>
      </c>
      <c r="I13" s="29"/>
      <c r="J13" s="29">
        <v>20</v>
      </c>
      <c r="K13" s="47">
        <v>12</v>
      </c>
      <c r="L13" s="121">
        <f t="shared" si="0"/>
        <v>52</v>
      </c>
      <c r="M13" s="214">
        <f>SUM(L13:L16)</f>
        <v>136</v>
      </c>
      <c r="N13" s="32"/>
      <c r="O13" s="5" t="s">
        <v>13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56" s="6" customFormat="1" ht="16.5" customHeight="1" x14ac:dyDescent="0.3">
      <c r="A14" s="144"/>
      <c r="B14" s="49"/>
      <c r="C14" s="65" t="s">
        <v>40</v>
      </c>
      <c r="D14" s="44"/>
      <c r="E14" s="144"/>
      <c r="F14" s="212"/>
      <c r="G14" s="47">
        <v>6</v>
      </c>
      <c r="H14" s="47">
        <v>0</v>
      </c>
      <c r="I14" s="47"/>
      <c r="J14" s="47">
        <v>10</v>
      </c>
      <c r="K14" s="47">
        <v>10</v>
      </c>
      <c r="L14" s="122">
        <f t="shared" si="0"/>
        <v>26</v>
      </c>
      <c r="M14" s="186"/>
      <c r="N14" s="33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56" s="6" customFormat="1" ht="14.4" customHeight="1" x14ac:dyDescent="0.3">
      <c r="A15" s="144"/>
      <c r="B15" s="216" t="s">
        <v>28</v>
      </c>
      <c r="C15" s="64" t="s">
        <v>41</v>
      </c>
      <c r="D15" s="9" t="s">
        <v>13</v>
      </c>
      <c r="E15" s="144"/>
      <c r="F15" s="212"/>
      <c r="G15" s="29">
        <v>6</v>
      </c>
      <c r="H15" s="29">
        <v>0</v>
      </c>
      <c r="I15" s="29"/>
      <c r="J15" s="29">
        <v>10</v>
      </c>
      <c r="K15" s="47">
        <v>10</v>
      </c>
      <c r="L15" s="120">
        <f>SUM(G15:K15)</f>
        <v>26</v>
      </c>
      <c r="M15" s="186"/>
      <c r="N15" s="33"/>
      <c r="O15" s="5" t="s">
        <v>13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56" s="6" customFormat="1" ht="14.4" customHeight="1" x14ac:dyDescent="0.3">
      <c r="A16" s="145"/>
      <c r="B16" s="217"/>
      <c r="C16" s="78" t="s">
        <v>42</v>
      </c>
      <c r="D16" s="44"/>
      <c r="E16" s="145"/>
      <c r="F16" s="213"/>
      <c r="G16" s="29">
        <v>0</v>
      </c>
      <c r="H16" s="29">
        <v>32</v>
      </c>
      <c r="I16" s="29"/>
      <c r="J16" s="29">
        <v>0</v>
      </c>
      <c r="K16" s="47">
        <v>0</v>
      </c>
      <c r="L16" s="123">
        <v>32</v>
      </c>
      <c r="M16" s="215"/>
      <c r="N16" s="34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</row>
    <row r="17" spans="1:56" s="30" customFormat="1" ht="14.4" customHeight="1" x14ac:dyDescent="0.3">
      <c r="A17" s="198">
        <v>7</v>
      </c>
      <c r="B17" s="200" t="s">
        <v>28</v>
      </c>
      <c r="C17" s="105" t="s">
        <v>43</v>
      </c>
      <c r="D17" s="106" t="s">
        <v>13</v>
      </c>
      <c r="E17" s="189" t="s">
        <v>44</v>
      </c>
      <c r="F17" s="203" t="s">
        <v>31</v>
      </c>
      <c r="G17" s="107">
        <v>24</v>
      </c>
      <c r="H17" s="107">
        <v>0</v>
      </c>
      <c r="I17" s="107"/>
      <c r="J17" s="107">
        <v>40</v>
      </c>
      <c r="K17" s="107">
        <v>24</v>
      </c>
      <c r="L17" s="124">
        <f t="shared" si="0"/>
        <v>88</v>
      </c>
      <c r="M17" s="172">
        <f>SUM(L17:L18)</f>
        <v>120</v>
      </c>
      <c r="N17" s="209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 t="s">
        <v>13</v>
      </c>
      <c r="Z17" s="27" t="s">
        <v>13</v>
      </c>
      <c r="AA17" s="27" t="s">
        <v>13</v>
      </c>
      <c r="AB17" s="27" t="s">
        <v>13</v>
      </c>
      <c r="AC17" s="27" t="s">
        <v>13</v>
      </c>
      <c r="AD17" s="27" t="s">
        <v>13</v>
      </c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</row>
    <row r="18" spans="1:56" s="6" customFormat="1" ht="14.4" customHeight="1" x14ac:dyDescent="0.3">
      <c r="A18" s="190"/>
      <c r="B18" s="201"/>
      <c r="C18" s="108" t="s">
        <v>45</v>
      </c>
      <c r="D18" s="91" t="s">
        <v>13</v>
      </c>
      <c r="E18" s="193"/>
      <c r="F18" s="196"/>
      <c r="G18" s="107">
        <v>0</v>
      </c>
      <c r="H18" s="107">
        <v>32</v>
      </c>
      <c r="I18" s="107"/>
      <c r="J18" s="107">
        <v>0</v>
      </c>
      <c r="K18" s="107">
        <v>0</v>
      </c>
      <c r="L18" s="125">
        <f>SUM(G18:K18)</f>
        <v>32</v>
      </c>
      <c r="M18" s="166"/>
      <c r="N18" s="210"/>
      <c r="O18" s="5"/>
      <c r="P18" s="5"/>
      <c r="Q18" s="5"/>
      <c r="R18" s="5"/>
      <c r="S18" s="5"/>
      <c r="T18" s="5"/>
      <c r="U18" s="5"/>
      <c r="V18" s="5"/>
      <c r="W18" s="5"/>
      <c r="X18" s="5"/>
      <c r="Y18" s="5" t="s">
        <v>13</v>
      </c>
      <c r="Z18" s="5" t="s">
        <v>13</v>
      </c>
      <c r="AA18" s="5" t="s">
        <v>13</v>
      </c>
      <c r="AB18" s="5" t="s">
        <v>13</v>
      </c>
      <c r="AC18" s="5" t="s">
        <v>13</v>
      </c>
      <c r="AD18" s="5" t="s">
        <v>13</v>
      </c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</row>
    <row r="19" spans="1:56" s="70" customFormat="1" ht="15.75" customHeight="1" x14ac:dyDescent="0.3">
      <c r="A19" s="8">
        <v>8</v>
      </c>
      <c r="B19" s="50" t="s">
        <v>28</v>
      </c>
      <c r="C19" s="64" t="s">
        <v>46</v>
      </c>
      <c r="D19" s="9" t="s">
        <v>13</v>
      </c>
      <c r="E19" s="8" t="s">
        <v>47</v>
      </c>
      <c r="F19" s="37" t="s">
        <v>31</v>
      </c>
      <c r="G19" s="47">
        <v>24</v>
      </c>
      <c r="H19" s="47">
        <v>24</v>
      </c>
      <c r="I19" s="47"/>
      <c r="J19" s="47">
        <v>40</v>
      </c>
      <c r="K19" s="47">
        <v>32</v>
      </c>
      <c r="L19" s="120">
        <f>SUM(G19:K19)</f>
        <v>120</v>
      </c>
      <c r="M19" s="129">
        <f>SUM(L19:L19)</f>
        <v>120</v>
      </c>
      <c r="N19" s="38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</row>
    <row r="20" spans="1:56" s="6" customFormat="1" ht="15.75" customHeight="1" x14ac:dyDescent="0.3">
      <c r="A20" s="198">
        <v>9</v>
      </c>
      <c r="B20" s="200" t="s">
        <v>28</v>
      </c>
      <c r="C20" s="105" t="s">
        <v>48</v>
      </c>
      <c r="D20" s="91" t="s">
        <v>13</v>
      </c>
      <c r="E20" s="189" t="s">
        <v>49</v>
      </c>
      <c r="F20" s="203" t="s">
        <v>50</v>
      </c>
      <c r="G20" s="95">
        <v>16</v>
      </c>
      <c r="H20" s="95">
        <v>0</v>
      </c>
      <c r="I20" s="95"/>
      <c r="J20" s="95">
        <v>40</v>
      </c>
      <c r="K20" s="95">
        <v>32</v>
      </c>
      <c r="L20" s="170">
        <f>SUM(G20:K24)</f>
        <v>128</v>
      </c>
      <c r="M20" s="172">
        <f>SUM(L20:L24)</f>
        <v>128</v>
      </c>
      <c r="N20" s="167"/>
      <c r="O20" s="5"/>
      <c r="P20" s="5"/>
      <c r="Q20" s="5"/>
      <c r="R20" s="5"/>
      <c r="S20" s="5"/>
      <c r="T20" s="5"/>
      <c r="U20" s="5"/>
      <c r="V20" s="5"/>
      <c r="W20" s="5"/>
      <c r="X20" s="5"/>
      <c r="Y20" s="5" t="s">
        <v>13</v>
      </c>
      <c r="Z20" s="5" t="s">
        <v>13</v>
      </c>
      <c r="AA20" s="5" t="s">
        <v>13</v>
      </c>
      <c r="AB20" s="5" t="s">
        <v>13</v>
      </c>
      <c r="AC20" s="5" t="s">
        <v>13</v>
      </c>
      <c r="AD20" s="5" t="s">
        <v>13</v>
      </c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</row>
    <row r="21" spans="1:56" s="6" customFormat="1" ht="15.75" customHeight="1" x14ac:dyDescent="0.3">
      <c r="A21" s="190"/>
      <c r="B21" s="201"/>
      <c r="C21" s="105" t="s">
        <v>45</v>
      </c>
      <c r="D21" s="91" t="s">
        <v>13</v>
      </c>
      <c r="E21" s="193"/>
      <c r="F21" s="196"/>
      <c r="G21" s="95">
        <v>0</v>
      </c>
      <c r="H21" s="95">
        <v>20</v>
      </c>
      <c r="I21" s="95"/>
      <c r="J21" s="95">
        <v>0</v>
      </c>
      <c r="K21" s="95">
        <v>0</v>
      </c>
      <c r="L21" s="188"/>
      <c r="M21" s="166"/>
      <c r="N21" s="168"/>
      <c r="O21" s="5"/>
      <c r="P21" s="5"/>
      <c r="Q21" s="5"/>
      <c r="R21" s="5"/>
      <c r="S21" s="5"/>
      <c r="T21" s="5"/>
      <c r="U21" s="5"/>
      <c r="V21" s="5"/>
      <c r="W21" s="5"/>
      <c r="X21" s="5"/>
      <c r="Y21" s="5" t="s">
        <v>13</v>
      </c>
      <c r="Z21" s="5" t="s">
        <v>13</v>
      </c>
      <c r="AA21" s="5" t="s">
        <v>13</v>
      </c>
      <c r="AB21" s="5" t="s">
        <v>13</v>
      </c>
      <c r="AC21" s="5" t="s">
        <v>13</v>
      </c>
      <c r="AD21" s="5" t="s">
        <v>13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</row>
    <row r="22" spans="1:56" s="6" customFormat="1" ht="14.4" customHeight="1" x14ac:dyDescent="0.3">
      <c r="A22" s="190"/>
      <c r="B22" s="201"/>
      <c r="C22" s="105" t="s">
        <v>51</v>
      </c>
      <c r="D22" s="91" t="s">
        <v>13</v>
      </c>
      <c r="E22" s="193"/>
      <c r="F22" s="196"/>
      <c r="G22" s="95">
        <v>0</v>
      </c>
      <c r="H22" s="95">
        <v>5</v>
      </c>
      <c r="I22" s="95"/>
      <c r="J22" s="95">
        <v>0</v>
      </c>
      <c r="K22" s="95">
        <v>0</v>
      </c>
      <c r="L22" s="188"/>
      <c r="M22" s="166"/>
      <c r="N22" s="168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</row>
    <row r="23" spans="1:56" s="6" customFormat="1" ht="14.4" customHeight="1" x14ac:dyDescent="0.3">
      <c r="A23" s="190"/>
      <c r="B23" s="201"/>
      <c r="C23" s="105" t="s">
        <v>29</v>
      </c>
      <c r="D23" s="91"/>
      <c r="E23" s="193"/>
      <c r="F23" s="196"/>
      <c r="G23" s="95">
        <v>0</v>
      </c>
      <c r="H23" s="95">
        <v>10</v>
      </c>
      <c r="I23" s="95"/>
      <c r="J23" s="95">
        <v>0</v>
      </c>
      <c r="K23" s="95">
        <v>0</v>
      </c>
      <c r="L23" s="188"/>
      <c r="M23" s="166"/>
      <c r="N23" s="168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</row>
    <row r="24" spans="1:56" s="6" customFormat="1" ht="14.4" customHeight="1" x14ac:dyDescent="0.3">
      <c r="A24" s="199"/>
      <c r="B24" s="202"/>
      <c r="C24" s="105" t="s">
        <v>52</v>
      </c>
      <c r="D24" s="109"/>
      <c r="E24" s="194"/>
      <c r="F24" s="197"/>
      <c r="G24" s="95">
        <v>0</v>
      </c>
      <c r="H24" s="95">
        <v>5</v>
      </c>
      <c r="I24" s="95"/>
      <c r="J24" s="95">
        <v>0</v>
      </c>
      <c r="K24" s="95">
        <v>0</v>
      </c>
      <c r="L24" s="171"/>
      <c r="M24" s="173"/>
      <c r="N24" s="18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</row>
    <row r="25" spans="1:56" s="4" customFormat="1" ht="14.4" customHeight="1" x14ac:dyDescent="0.3">
      <c r="A25" s="8">
        <v>10</v>
      </c>
      <c r="B25" s="50" t="s">
        <v>21</v>
      </c>
      <c r="C25" s="79" t="s">
        <v>22</v>
      </c>
      <c r="D25" s="9" t="s">
        <v>13</v>
      </c>
      <c r="E25" s="8" t="s">
        <v>53</v>
      </c>
      <c r="F25" s="37" t="s">
        <v>54</v>
      </c>
      <c r="G25" s="29">
        <v>24</v>
      </c>
      <c r="H25" s="29">
        <v>16</v>
      </c>
      <c r="I25" s="29"/>
      <c r="J25" s="84">
        <v>10</v>
      </c>
      <c r="K25" s="47">
        <v>10</v>
      </c>
      <c r="L25" s="126">
        <f t="shared" si="0"/>
        <v>60</v>
      </c>
      <c r="M25" s="129">
        <f>L25</f>
        <v>60</v>
      </c>
      <c r="N25" s="1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56" s="6" customFormat="1" ht="14.4" customHeight="1" x14ac:dyDescent="0.3">
      <c r="A26" s="189">
        <v>11</v>
      </c>
      <c r="B26" s="88" t="s">
        <v>55</v>
      </c>
      <c r="C26" s="99" t="s">
        <v>56</v>
      </c>
      <c r="D26" s="91" t="s">
        <v>13</v>
      </c>
      <c r="E26" s="189" t="s">
        <v>57</v>
      </c>
      <c r="F26" s="195" t="s">
        <v>58</v>
      </c>
      <c r="G26" s="95">
        <v>4</v>
      </c>
      <c r="H26" s="95">
        <v>7.5</v>
      </c>
      <c r="I26" s="95"/>
      <c r="J26" s="95">
        <v>8</v>
      </c>
      <c r="K26" s="95">
        <v>6</v>
      </c>
      <c r="L26" s="120">
        <f>SUM(G26:K26)</f>
        <v>25.5</v>
      </c>
      <c r="M26" s="165">
        <f>SUM(L26:L27)</f>
        <v>100.5</v>
      </c>
      <c r="N26" s="167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</row>
    <row r="27" spans="1:56" s="6" customFormat="1" ht="14.4" customHeight="1" x14ac:dyDescent="0.3">
      <c r="A27" s="190"/>
      <c r="B27" s="88" t="s">
        <v>59</v>
      </c>
      <c r="C27" s="99" t="s">
        <v>60</v>
      </c>
      <c r="D27" s="91" t="s">
        <v>13</v>
      </c>
      <c r="E27" s="193"/>
      <c r="F27" s="196"/>
      <c r="G27" s="95">
        <v>11</v>
      </c>
      <c r="H27" s="95">
        <v>12</v>
      </c>
      <c r="I27" s="95"/>
      <c r="J27" s="95">
        <v>12</v>
      </c>
      <c r="K27" s="96">
        <v>10</v>
      </c>
      <c r="L27" s="170">
        <v>75</v>
      </c>
      <c r="M27" s="166"/>
      <c r="N27" s="168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</row>
    <row r="28" spans="1:56" s="6" customFormat="1" ht="14.4" customHeight="1" x14ac:dyDescent="0.3">
      <c r="A28" s="191"/>
      <c r="B28" s="110" t="s">
        <v>61</v>
      </c>
      <c r="C28" s="99" t="s">
        <v>62</v>
      </c>
      <c r="D28" s="98"/>
      <c r="E28" s="193"/>
      <c r="F28" s="196"/>
      <c r="G28" s="95">
        <v>0</v>
      </c>
      <c r="H28" s="95">
        <v>14</v>
      </c>
      <c r="I28" s="95"/>
      <c r="J28" s="95">
        <v>0</v>
      </c>
      <c r="K28" s="96">
        <v>0</v>
      </c>
      <c r="L28" s="188"/>
      <c r="M28" s="166"/>
      <c r="N28" s="168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</row>
    <row r="29" spans="1:56" s="12" customFormat="1" ht="14.4" customHeight="1" x14ac:dyDescent="0.3">
      <c r="A29" s="192"/>
      <c r="B29" s="111" t="s">
        <v>33</v>
      </c>
      <c r="C29" s="112" t="s">
        <v>63</v>
      </c>
      <c r="D29" s="98" t="s">
        <v>13</v>
      </c>
      <c r="E29" s="194"/>
      <c r="F29" s="197"/>
      <c r="G29" s="95">
        <v>1</v>
      </c>
      <c r="H29" s="95">
        <v>3</v>
      </c>
      <c r="I29" s="95"/>
      <c r="J29" s="95">
        <v>0</v>
      </c>
      <c r="K29" s="96">
        <v>0</v>
      </c>
      <c r="L29" s="171"/>
      <c r="M29" s="173"/>
      <c r="N29" s="187"/>
      <c r="O29" s="5"/>
      <c r="P29" s="5"/>
      <c r="Q29" s="5"/>
      <c r="R29" s="5"/>
      <c r="S29" s="5"/>
      <c r="T29" s="5"/>
      <c r="U29" s="5"/>
      <c r="V29" s="5"/>
      <c r="W29" s="5"/>
      <c r="X29" s="5"/>
      <c r="Y29" s="5" t="s">
        <v>13</v>
      </c>
      <c r="Z29" s="5" t="s">
        <v>13</v>
      </c>
      <c r="AA29" s="5" t="s">
        <v>13</v>
      </c>
      <c r="AB29" s="5" t="s">
        <v>13</v>
      </c>
      <c r="AC29" s="5" t="s">
        <v>13</v>
      </c>
      <c r="AD29" s="5" t="s">
        <v>13</v>
      </c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11"/>
    </row>
    <row r="30" spans="1:56" s="12" customFormat="1" ht="18" customHeight="1" x14ac:dyDescent="0.3">
      <c r="A30" s="156">
        <v>12</v>
      </c>
      <c r="B30" s="54" t="s">
        <v>28</v>
      </c>
      <c r="C30" s="80" t="s">
        <v>64</v>
      </c>
      <c r="D30" s="9" t="s">
        <v>13</v>
      </c>
      <c r="E30" s="156" t="s">
        <v>65</v>
      </c>
      <c r="F30" s="176" t="s">
        <v>66</v>
      </c>
      <c r="G30" s="47">
        <v>4</v>
      </c>
      <c r="H30" s="47">
        <v>8</v>
      </c>
      <c r="I30" s="66"/>
      <c r="J30" s="47">
        <v>20</v>
      </c>
      <c r="K30" s="47">
        <v>20</v>
      </c>
      <c r="L30" s="163">
        <f>SUM(G30:K31)</f>
        <v>55</v>
      </c>
      <c r="M30" s="165">
        <f>SUM(L30:L31)</f>
        <v>55</v>
      </c>
      <c r="N30" s="167"/>
      <c r="O30" s="5"/>
      <c r="P30" s="5"/>
      <c r="Q30" s="5"/>
      <c r="R30" s="5"/>
      <c r="S30" s="5"/>
      <c r="T30" s="5"/>
      <c r="U30" s="5"/>
      <c r="V30" s="5"/>
      <c r="W30" s="5"/>
      <c r="X30" s="5"/>
      <c r="Y30" s="5" t="s">
        <v>13</v>
      </c>
      <c r="Z30" s="5" t="s">
        <v>13</v>
      </c>
      <c r="AA30" s="5" t="s">
        <v>13</v>
      </c>
      <c r="AB30" s="5" t="s">
        <v>13</v>
      </c>
      <c r="AC30" s="5" t="s">
        <v>13</v>
      </c>
      <c r="AD30" s="5" t="s">
        <v>13</v>
      </c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11"/>
    </row>
    <row r="31" spans="1:56" s="14" customFormat="1" ht="14.4" customHeight="1" x14ac:dyDescent="0.3">
      <c r="A31" s="174"/>
      <c r="B31" s="67" t="s">
        <v>33</v>
      </c>
      <c r="C31" s="68" t="s">
        <v>67</v>
      </c>
      <c r="D31" s="26"/>
      <c r="E31" s="175"/>
      <c r="F31" s="177"/>
      <c r="G31" s="47">
        <v>0</v>
      </c>
      <c r="H31" s="47">
        <v>3</v>
      </c>
      <c r="I31" s="66"/>
      <c r="J31" s="47">
        <v>0</v>
      </c>
      <c r="K31" s="47">
        <v>0</v>
      </c>
      <c r="L31" s="164"/>
      <c r="M31" s="166"/>
      <c r="N31" s="168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13"/>
    </row>
    <row r="32" spans="1:56" s="14" customFormat="1" ht="15.75" customHeight="1" x14ac:dyDescent="0.3">
      <c r="A32" s="181">
        <v>13</v>
      </c>
      <c r="B32" s="178" t="s">
        <v>68</v>
      </c>
      <c r="C32" s="113" t="s">
        <v>69</v>
      </c>
      <c r="D32" s="91" t="s">
        <v>13</v>
      </c>
      <c r="E32" s="181" t="s">
        <v>70</v>
      </c>
      <c r="F32" s="183" t="s">
        <v>71</v>
      </c>
      <c r="G32" s="95">
        <v>3</v>
      </c>
      <c r="H32" s="95">
        <v>2</v>
      </c>
      <c r="I32" s="95"/>
      <c r="J32" s="95">
        <v>5</v>
      </c>
      <c r="K32" s="95">
        <v>3</v>
      </c>
      <c r="L32" s="126">
        <f t="shared" ref="L32:L41" si="1">SUM(G32:K32)</f>
        <v>13</v>
      </c>
      <c r="M32" s="185">
        <f>SUM(L32:L37)</f>
        <v>126</v>
      </c>
      <c r="N32" s="160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13"/>
    </row>
    <row r="33" spans="1:55" s="6" customFormat="1" ht="15.75" customHeight="1" x14ac:dyDescent="0.3">
      <c r="A33" s="182"/>
      <c r="B33" s="179"/>
      <c r="C33" s="113" t="s">
        <v>28</v>
      </c>
      <c r="D33" s="91" t="s">
        <v>13</v>
      </c>
      <c r="E33" s="182"/>
      <c r="F33" s="184"/>
      <c r="G33" s="95">
        <v>5</v>
      </c>
      <c r="H33" s="95">
        <v>0</v>
      </c>
      <c r="I33" s="95"/>
      <c r="J33" s="95">
        <v>23</v>
      </c>
      <c r="K33" s="95">
        <v>14</v>
      </c>
      <c r="L33" s="126">
        <f t="shared" si="1"/>
        <v>42</v>
      </c>
      <c r="M33" s="186"/>
      <c r="N33" s="161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</row>
    <row r="34" spans="1:55" ht="15.75" customHeight="1" x14ac:dyDescent="0.3">
      <c r="A34" s="182"/>
      <c r="B34" s="179"/>
      <c r="C34" s="113" t="s">
        <v>72</v>
      </c>
      <c r="D34" s="91" t="s">
        <v>13</v>
      </c>
      <c r="E34" s="182"/>
      <c r="F34" s="184"/>
      <c r="G34" s="95">
        <v>0</v>
      </c>
      <c r="H34" s="95">
        <v>16</v>
      </c>
      <c r="I34" s="95"/>
      <c r="J34" s="95">
        <v>1</v>
      </c>
      <c r="K34" s="95">
        <v>1</v>
      </c>
      <c r="L34" s="126">
        <f t="shared" si="1"/>
        <v>18</v>
      </c>
      <c r="M34" s="186"/>
      <c r="N34" s="161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</row>
    <row r="35" spans="1:55" ht="15.75" customHeight="1" x14ac:dyDescent="0.3">
      <c r="A35" s="182"/>
      <c r="B35" s="179"/>
      <c r="C35" s="113" t="s">
        <v>73</v>
      </c>
      <c r="D35" s="91"/>
      <c r="E35" s="182"/>
      <c r="F35" s="184"/>
      <c r="G35" s="95">
        <v>2</v>
      </c>
      <c r="H35" s="95">
        <v>3</v>
      </c>
      <c r="I35" s="95"/>
      <c r="J35" s="95">
        <v>3</v>
      </c>
      <c r="K35" s="95">
        <v>2</v>
      </c>
      <c r="L35" s="126">
        <v>13</v>
      </c>
      <c r="M35" s="186"/>
      <c r="N35" s="161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</row>
    <row r="36" spans="1:55" s="6" customFormat="1" ht="15.75" customHeight="1" x14ac:dyDescent="0.3">
      <c r="A36" s="182"/>
      <c r="B36" s="179"/>
      <c r="C36" s="113" t="s">
        <v>74</v>
      </c>
      <c r="D36" s="91" t="s">
        <v>13</v>
      </c>
      <c r="E36" s="182"/>
      <c r="F36" s="184"/>
      <c r="G36" s="95">
        <v>1</v>
      </c>
      <c r="H36" s="95">
        <v>4</v>
      </c>
      <c r="I36" s="95"/>
      <c r="J36" s="95">
        <v>2</v>
      </c>
      <c r="K36" s="95">
        <v>1</v>
      </c>
      <c r="L36" s="126">
        <f t="shared" si="1"/>
        <v>8</v>
      </c>
      <c r="M36" s="186"/>
      <c r="N36" s="161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</row>
    <row r="37" spans="1:55" ht="15.75" customHeight="1" x14ac:dyDescent="0.3">
      <c r="A37" s="182"/>
      <c r="B37" s="180"/>
      <c r="C37" s="113" t="s">
        <v>75</v>
      </c>
      <c r="D37" s="91" t="s">
        <v>13</v>
      </c>
      <c r="E37" s="182"/>
      <c r="F37" s="184"/>
      <c r="G37" s="95">
        <v>5</v>
      </c>
      <c r="H37" s="95">
        <v>14</v>
      </c>
      <c r="I37" s="95"/>
      <c r="J37" s="95">
        <v>7</v>
      </c>
      <c r="K37" s="95">
        <v>6</v>
      </c>
      <c r="L37" s="126">
        <f t="shared" si="1"/>
        <v>32</v>
      </c>
      <c r="M37" s="186"/>
      <c r="N37" s="162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</row>
    <row r="38" spans="1:55" ht="15.75" customHeight="1" x14ac:dyDescent="0.3">
      <c r="A38" s="154">
        <v>14</v>
      </c>
      <c r="B38" s="48" t="s">
        <v>59</v>
      </c>
      <c r="C38" s="45" t="s">
        <v>76</v>
      </c>
      <c r="D38" s="9" t="s">
        <v>13</v>
      </c>
      <c r="E38" s="156" t="s">
        <v>77</v>
      </c>
      <c r="F38" s="158" t="s">
        <v>78</v>
      </c>
      <c r="G38" s="29">
        <v>2</v>
      </c>
      <c r="H38" s="29">
        <v>2</v>
      </c>
      <c r="I38" s="29"/>
      <c r="J38" s="29">
        <v>5</v>
      </c>
      <c r="K38" s="47">
        <v>5</v>
      </c>
      <c r="L38" s="170">
        <f>SUM(G38:K39)</f>
        <v>22</v>
      </c>
      <c r="M38" s="172">
        <f>SUM(L38:L39)</f>
        <v>22</v>
      </c>
      <c r="N38" s="169" t="s">
        <v>13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 t="s">
        <v>13</v>
      </c>
      <c r="Z38" s="5" t="s">
        <v>13</v>
      </c>
      <c r="AA38" s="5" t="s">
        <v>13</v>
      </c>
      <c r="AB38" s="5" t="s">
        <v>13</v>
      </c>
      <c r="AC38" s="5" t="s">
        <v>13</v>
      </c>
      <c r="AD38" s="5" t="s">
        <v>13</v>
      </c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</row>
    <row r="39" spans="1:55" ht="15.75" customHeight="1" x14ac:dyDescent="0.3">
      <c r="A39" s="155"/>
      <c r="B39" s="55" t="s">
        <v>28</v>
      </c>
      <c r="C39" s="81" t="s">
        <v>79</v>
      </c>
      <c r="D39" s="9" t="s">
        <v>13</v>
      </c>
      <c r="E39" s="157"/>
      <c r="F39" s="159"/>
      <c r="G39" s="29">
        <v>2</v>
      </c>
      <c r="H39" s="29">
        <v>2</v>
      </c>
      <c r="I39" s="29"/>
      <c r="J39" s="29">
        <v>2</v>
      </c>
      <c r="K39" s="47">
        <v>2</v>
      </c>
      <c r="L39" s="171"/>
      <c r="M39" s="173"/>
      <c r="N39" s="169"/>
      <c r="O39" s="5"/>
      <c r="P39" s="5"/>
      <c r="Q39" s="5"/>
      <c r="R39" s="5"/>
      <c r="S39" s="5"/>
      <c r="T39" s="5"/>
      <c r="U39" s="5"/>
      <c r="V39" s="5"/>
      <c r="W39" s="5"/>
      <c r="X39" s="5"/>
      <c r="Y39" s="5" t="s">
        <v>13</v>
      </c>
      <c r="Z39" s="5" t="s">
        <v>13</v>
      </c>
      <c r="AA39" s="5" t="s">
        <v>13</v>
      </c>
      <c r="AB39" s="5" t="s">
        <v>13</v>
      </c>
      <c r="AC39" s="5" t="s">
        <v>13</v>
      </c>
      <c r="AD39" s="5" t="s">
        <v>13</v>
      </c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</row>
    <row r="40" spans="1:55" ht="18.75" customHeight="1" x14ac:dyDescent="0.3">
      <c r="A40" s="114">
        <v>15</v>
      </c>
      <c r="B40" s="115" t="s">
        <v>68</v>
      </c>
      <c r="C40" s="113" t="s">
        <v>80</v>
      </c>
      <c r="D40" s="91" t="s">
        <v>13</v>
      </c>
      <c r="E40" s="116" t="s">
        <v>81</v>
      </c>
      <c r="F40" s="117" t="s">
        <v>71</v>
      </c>
      <c r="G40" s="96">
        <v>12</v>
      </c>
      <c r="H40" s="95">
        <v>0</v>
      </c>
      <c r="I40" s="95"/>
      <c r="J40" s="95">
        <v>20</v>
      </c>
      <c r="K40" s="95">
        <v>16</v>
      </c>
      <c r="L40" s="126">
        <f t="shared" si="1"/>
        <v>48</v>
      </c>
      <c r="M40" s="130">
        <f>L40</f>
        <v>48</v>
      </c>
      <c r="N40" s="15" t="s">
        <v>13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 t="s">
        <v>13</v>
      </c>
      <c r="Z40" s="5" t="s">
        <v>13</v>
      </c>
      <c r="AA40" s="5" t="s">
        <v>13</v>
      </c>
      <c r="AB40" s="5" t="s">
        <v>13</v>
      </c>
      <c r="AC40" s="5" t="s">
        <v>13</v>
      </c>
      <c r="AD40" s="5" t="s">
        <v>13</v>
      </c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</row>
    <row r="41" spans="1:55" ht="15.75" customHeight="1" x14ac:dyDescent="0.3">
      <c r="A41" s="10">
        <v>16</v>
      </c>
      <c r="B41" s="56" t="s">
        <v>28</v>
      </c>
      <c r="C41" s="64" t="s">
        <v>43</v>
      </c>
      <c r="D41" s="44"/>
      <c r="E41" s="10" t="s">
        <v>82</v>
      </c>
      <c r="F41" s="85" t="s">
        <v>31</v>
      </c>
      <c r="G41" s="47">
        <v>24</v>
      </c>
      <c r="H41" s="47">
        <v>32</v>
      </c>
      <c r="I41" s="47"/>
      <c r="J41" s="47">
        <v>40</v>
      </c>
      <c r="K41" s="47">
        <v>32</v>
      </c>
      <c r="L41" s="127">
        <f t="shared" si="1"/>
        <v>128</v>
      </c>
      <c r="M41" s="131">
        <f>L41</f>
        <v>128</v>
      </c>
      <c r="N41" s="46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</row>
    <row r="42" spans="1:55" ht="15.75" customHeight="1" x14ac:dyDescent="0.3">
      <c r="A42" s="146">
        <v>17</v>
      </c>
      <c r="B42" s="148" t="s">
        <v>28</v>
      </c>
      <c r="C42" s="118" t="s">
        <v>43</v>
      </c>
      <c r="D42" s="100"/>
      <c r="E42" s="146" t="s">
        <v>83</v>
      </c>
      <c r="F42" s="150" t="s">
        <v>31</v>
      </c>
      <c r="G42" s="96">
        <v>24</v>
      </c>
      <c r="H42" s="96">
        <v>0</v>
      </c>
      <c r="I42" s="96"/>
      <c r="J42" s="96">
        <v>40</v>
      </c>
      <c r="K42" s="96">
        <v>32</v>
      </c>
      <c r="L42" s="127">
        <f>SUM(G42:K42)</f>
        <v>96</v>
      </c>
      <c r="M42" s="152">
        <f>SUM(L42:L43)</f>
        <v>120</v>
      </c>
      <c r="N42" s="46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</row>
    <row r="43" spans="1:55" ht="15.75" customHeight="1" x14ac:dyDescent="0.3">
      <c r="A43" s="147"/>
      <c r="B43" s="149"/>
      <c r="C43" s="119" t="s">
        <v>45</v>
      </c>
      <c r="D43" s="100"/>
      <c r="E43" s="147"/>
      <c r="F43" s="151"/>
      <c r="G43" s="96">
        <v>0</v>
      </c>
      <c r="H43" s="96">
        <v>24</v>
      </c>
      <c r="I43" s="96"/>
      <c r="J43" s="96">
        <v>0</v>
      </c>
      <c r="K43" s="96">
        <v>0</v>
      </c>
      <c r="L43" s="127">
        <f>SUM(G43:K43)</f>
        <v>24</v>
      </c>
      <c r="M43" s="153"/>
      <c r="N43" s="46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</row>
    <row r="44" spans="1:55" s="76" customFormat="1" ht="15.75" customHeight="1" x14ac:dyDescent="0.3">
      <c r="A44" s="71">
        <v>18</v>
      </c>
      <c r="B44" s="72" t="s">
        <v>61</v>
      </c>
      <c r="C44" s="73" t="s">
        <v>62</v>
      </c>
      <c r="D44" s="74"/>
      <c r="E44" s="71" t="s">
        <v>84</v>
      </c>
      <c r="F44" s="86" t="s">
        <v>85</v>
      </c>
      <c r="G44" s="66">
        <v>0</v>
      </c>
      <c r="H44" s="66">
        <v>2</v>
      </c>
      <c r="I44" s="66"/>
      <c r="J44" s="66">
        <v>0</v>
      </c>
      <c r="K44" s="66">
        <v>0</v>
      </c>
      <c r="L44" s="128">
        <f>SUM(G44:K44)</f>
        <v>2</v>
      </c>
      <c r="M44" s="132">
        <f>L44</f>
        <v>2</v>
      </c>
      <c r="N44" s="75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</row>
    <row r="45" spans="1:55" ht="15.75" customHeight="1" x14ac:dyDescent="0.3">
      <c r="A45" s="133" t="s">
        <v>13</v>
      </c>
      <c r="B45" s="134"/>
      <c r="C45" s="137" t="s">
        <v>86</v>
      </c>
      <c r="D45" s="138"/>
      <c r="E45" s="138"/>
      <c r="F45" s="139"/>
      <c r="G45" s="87"/>
      <c r="H45" s="87"/>
      <c r="I45" s="87"/>
      <c r="J45" s="87"/>
      <c r="K45" s="87"/>
      <c r="L45" s="62"/>
      <c r="M45" s="63"/>
      <c r="N45" s="16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</row>
    <row r="46" spans="1:55" ht="15.75" customHeight="1" x14ac:dyDescent="0.3">
      <c r="A46" s="135"/>
      <c r="B46" s="136"/>
      <c r="C46" s="140"/>
      <c r="D46" s="141"/>
      <c r="E46" s="141"/>
      <c r="F46" s="142"/>
      <c r="G46" s="36">
        <f>SUM(G2:G42)</f>
        <v>276</v>
      </c>
      <c r="H46" s="35">
        <f>ROUNDUP(SUM(H2:H44),0)</f>
        <v>443</v>
      </c>
      <c r="I46" s="35">
        <f>ROUNDUP(SUM(I2:I44),0)</f>
        <v>0</v>
      </c>
      <c r="J46" s="35">
        <f>ROUNDUP(SUM(J2:J44),0)</f>
        <v>518</v>
      </c>
      <c r="K46" s="35">
        <f>ROUNDUP(SUM(K2:K44),0)</f>
        <v>376</v>
      </c>
      <c r="L46" s="17"/>
      <c r="M46" s="31">
        <f>SUM(M2:M44)</f>
        <v>1627.5</v>
      </c>
      <c r="N46" s="18" t="s">
        <v>13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 t="s">
        <v>13</v>
      </c>
      <c r="Z46" s="5" t="s">
        <v>13</v>
      </c>
      <c r="AA46" s="5" t="s">
        <v>13</v>
      </c>
      <c r="AB46" s="5" t="s">
        <v>13</v>
      </c>
      <c r="AC46" s="5" t="s">
        <v>13</v>
      </c>
      <c r="AD46" s="5" t="s">
        <v>13</v>
      </c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</row>
    <row r="47" spans="1:55" ht="15.75" customHeight="1" x14ac:dyDescent="0.3">
      <c r="A47" s="1" t="s">
        <v>13</v>
      </c>
      <c r="B47" s="19" t="s">
        <v>13</v>
      </c>
      <c r="C47" s="19" t="s">
        <v>13</v>
      </c>
      <c r="D47" s="19" t="s">
        <v>13</v>
      </c>
      <c r="E47" s="19" t="s">
        <v>13</v>
      </c>
      <c r="F47" s="19" t="s">
        <v>13</v>
      </c>
      <c r="G47" s="19" t="s">
        <v>13</v>
      </c>
      <c r="H47" s="19" t="s">
        <v>13</v>
      </c>
      <c r="I47" s="19" t="s">
        <v>13</v>
      </c>
      <c r="J47" s="19" t="s">
        <v>13</v>
      </c>
      <c r="K47" s="19" t="s">
        <v>13</v>
      </c>
      <c r="L47" s="19" t="s">
        <v>13</v>
      </c>
      <c r="M47" s="19" t="s">
        <v>13</v>
      </c>
      <c r="N47" s="19" t="s">
        <v>13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 t="s">
        <v>13</v>
      </c>
      <c r="Z47" s="5" t="s">
        <v>13</v>
      </c>
      <c r="AA47" s="5" t="s">
        <v>13</v>
      </c>
      <c r="AB47" s="5" t="s">
        <v>13</v>
      </c>
      <c r="AC47" s="5" t="s">
        <v>13</v>
      </c>
      <c r="AD47" s="5" t="s">
        <v>13</v>
      </c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</row>
    <row r="48" spans="1:55" ht="15.75" customHeight="1" x14ac:dyDescent="0.3">
      <c r="A48" s="20"/>
      <c r="B48" s="21"/>
      <c r="C48" s="2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</row>
    <row r="49" spans="1:55" ht="15.75" customHeight="1" x14ac:dyDescent="0.3">
      <c r="A49" s="20"/>
      <c r="B49" s="21"/>
      <c r="C49" s="22"/>
      <c r="D49" s="21"/>
      <c r="E49" s="21"/>
      <c r="F49" s="21"/>
      <c r="G49" s="21"/>
      <c r="H49" s="21"/>
      <c r="I49" s="21"/>
      <c r="J49" s="24" t="s">
        <v>86</v>
      </c>
      <c r="K49" s="21"/>
      <c r="L49" s="21"/>
      <c r="M49" s="21"/>
      <c r="N49" s="21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</row>
    <row r="50" spans="1:55" ht="15.75" customHeight="1" x14ac:dyDescent="0.3">
      <c r="A50" s="20"/>
      <c r="B50" s="21"/>
      <c r="C50" s="22"/>
      <c r="D50" s="21"/>
      <c r="E50" s="21"/>
      <c r="F50" s="21"/>
      <c r="G50" s="21"/>
      <c r="H50" s="21"/>
      <c r="I50" s="21"/>
      <c r="J50" s="24" t="s">
        <v>87</v>
      </c>
      <c r="K50" s="25">
        <f>SUM(G46)</f>
        <v>276</v>
      </c>
      <c r="L50" s="21"/>
      <c r="M50" s="21"/>
      <c r="N50" s="21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1"/>
      <c r="Z50" s="21"/>
      <c r="AA50" s="21"/>
      <c r="AB50" s="21"/>
      <c r="AC50" s="21"/>
      <c r="AD50" s="21"/>
    </row>
    <row r="51" spans="1:55" ht="15.75" customHeight="1" x14ac:dyDescent="0.3">
      <c r="A51" s="20"/>
      <c r="B51" s="21"/>
      <c r="C51" s="22"/>
      <c r="D51" s="21"/>
      <c r="E51" s="21"/>
      <c r="F51" s="21"/>
      <c r="G51" s="21"/>
      <c r="H51" s="21"/>
      <c r="I51" s="21"/>
      <c r="J51" s="24" t="s">
        <v>88</v>
      </c>
      <c r="K51" s="25">
        <f>H46</f>
        <v>443</v>
      </c>
      <c r="L51" s="21"/>
      <c r="M51" s="21"/>
      <c r="N51" s="21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1"/>
      <c r="Z51" s="21"/>
      <c r="AA51" s="21"/>
      <c r="AB51" s="21"/>
      <c r="AC51" s="21"/>
      <c r="AD51" s="21"/>
    </row>
    <row r="52" spans="1:55" ht="15.75" customHeight="1" x14ac:dyDescent="0.3">
      <c r="A52" s="20"/>
      <c r="B52" s="21"/>
      <c r="C52" s="2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1"/>
      <c r="Z52" s="21"/>
      <c r="AA52" s="21"/>
      <c r="AB52" s="21"/>
      <c r="AC52" s="21"/>
      <c r="AD52" s="21"/>
    </row>
    <row r="53" spans="1:55" ht="15.75" customHeight="1" x14ac:dyDescent="0.3">
      <c r="A53" s="20"/>
      <c r="B53" s="21"/>
      <c r="C53" s="2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1"/>
      <c r="Z53" s="21"/>
      <c r="AA53" s="21"/>
      <c r="AB53" s="21"/>
      <c r="AC53" s="21"/>
      <c r="AD53" s="21"/>
    </row>
    <row r="54" spans="1:55" ht="15.75" customHeight="1" x14ac:dyDescent="0.3">
      <c r="A54" s="20"/>
      <c r="B54" s="21"/>
      <c r="C54" s="2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1"/>
      <c r="Z54" s="21"/>
      <c r="AA54" s="21"/>
      <c r="AB54" s="21"/>
      <c r="AC54" s="21"/>
      <c r="AD54" s="21"/>
    </row>
    <row r="55" spans="1:55" ht="15.75" customHeight="1" x14ac:dyDescent="0.3">
      <c r="A55" s="20"/>
      <c r="B55" s="21"/>
      <c r="C55" s="2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1"/>
      <c r="Z55" s="21"/>
      <c r="AA55" s="21"/>
      <c r="AB55" s="21"/>
      <c r="AC55" s="21"/>
      <c r="AD55" s="21"/>
    </row>
    <row r="56" spans="1:55" ht="15.75" customHeight="1" x14ac:dyDescent="0.3">
      <c r="A56" s="20"/>
      <c r="B56" s="21"/>
      <c r="C56" s="2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1"/>
      <c r="Z56" s="21"/>
      <c r="AA56" s="21"/>
      <c r="AB56" s="21"/>
      <c r="AC56" s="21"/>
      <c r="AD56" s="21"/>
    </row>
    <row r="57" spans="1:55" ht="15.75" customHeight="1" x14ac:dyDescent="0.3">
      <c r="A57" s="20"/>
      <c r="B57" s="21"/>
      <c r="C57" s="2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spans="1:55" ht="15.75" customHeight="1" x14ac:dyDescent="0.3">
      <c r="A58" s="20"/>
      <c r="B58" s="21"/>
      <c r="C58" s="2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spans="1:55" ht="15.75" customHeight="1" x14ac:dyDescent="0.3">
      <c r="A59" s="20"/>
      <c r="B59" s="21"/>
      <c r="C59" s="2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spans="1:55" ht="15.75" customHeight="1" x14ac:dyDescent="0.3">
      <c r="A60" s="20"/>
      <c r="B60" s="21"/>
      <c r="C60" s="2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spans="1:55" ht="15.75" customHeight="1" x14ac:dyDescent="0.3">
      <c r="A61" s="20"/>
      <c r="B61" s="21"/>
      <c r="C61" s="2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spans="1:55" ht="15.75" customHeight="1" x14ac:dyDescent="0.3">
      <c r="A62" s="20"/>
      <c r="B62" s="21"/>
      <c r="C62" s="2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spans="1:55" ht="15.75" customHeight="1" x14ac:dyDescent="0.3">
      <c r="A63" s="20"/>
      <c r="B63" s="21"/>
      <c r="C63" s="2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spans="1:55" ht="15.75" customHeight="1" x14ac:dyDescent="0.3">
      <c r="A64" s="20"/>
      <c r="B64" s="21"/>
      <c r="C64" s="2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spans="1:30" ht="15.75" customHeight="1" x14ac:dyDescent="0.3">
      <c r="A65" s="20"/>
      <c r="B65" s="21"/>
      <c r="C65" s="2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spans="1:30" ht="15.75" customHeight="1" x14ac:dyDescent="0.3">
      <c r="A66" s="20"/>
      <c r="B66" s="21"/>
      <c r="C66" s="2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spans="1:30" ht="15.75" customHeight="1" x14ac:dyDescent="0.3">
      <c r="A67" s="20"/>
      <c r="B67" s="21"/>
      <c r="C67" s="2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spans="1:30" ht="15.75" customHeight="1" x14ac:dyDescent="0.3">
      <c r="A68" s="20"/>
      <c r="B68" s="21"/>
      <c r="C68" s="2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spans="1:30" ht="15.75" customHeight="1" x14ac:dyDescent="0.3">
      <c r="A69" s="20"/>
      <c r="B69" s="21"/>
      <c r="C69" s="2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spans="1:30" ht="15.75" customHeight="1" x14ac:dyDescent="0.3">
      <c r="A70" s="20"/>
      <c r="B70" s="21"/>
      <c r="C70" s="2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spans="1:30" ht="15.75" customHeight="1" x14ac:dyDescent="0.3">
      <c r="A71" s="20"/>
      <c r="B71" s="21"/>
      <c r="C71" s="2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spans="1:30" ht="15.75" customHeight="1" x14ac:dyDescent="0.3">
      <c r="A72" s="20"/>
      <c r="B72" s="21"/>
      <c r="C72" s="2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spans="1:30" ht="15.75" customHeight="1" x14ac:dyDescent="0.3">
      <c r="A73" s="20"/>
      <c r="B73" s="21"/>
      <c r="C73" s="2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spans="1:30" ht="15.75" customHeight="1" x14ac:dyDescent="0.3">
      <c r="A74" s="20"/>
      <c r="B74" s="21"/>
      <c r="C74" s="2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spans="1:30" ht="15.75" customHeight="1" x14ac:dyDescent="0.3">
      <c r="A75" s="20"/>
      <c r="B75" s="21"/>
      <c r="C75" s="2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spans="1:30" ht="15.75" customHeight="1" x14ac:dyDescent="0.3">
      <c r="A76" s="20"/>
      <c r="B76" s="21"/>
      <c r="C76" s="2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spans="1:30" ht="15.75" customHeight="1" x14ac:dyDescent="0.3">
      <c r="A77" s="20"/>
      <c r="B77" s="21"/>
      <c r="C77" s="2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spans="1:30" ht="15.75" customHeight="1" x14ac:dyDescent="0.3">
      <c r="A78" s="20"/>
      <c r="B78" s="21"/>
      <c r="C78" s="2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spans="1:30" ht="15.75" customHeight="1" x14ac:dyDescent="0.3">
      <c r="A79" s="20"/>
      <c r="B79" s="21"/>
      <c r="C79" s="2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spans="1:30" ht="15.75" customHeight="1" x14ac:dyDescent="0.3">
      <c r="A80" s="20"/>
      <c r="B80" s="21"/>
      <c r="C80" s="2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spans="1:30" ht="15.75" customHeight="1" x14ac:dyDescent="0.3">
      <c r="A81" s="20"/>
      <c r="B81" s="21"/>
      <c r="C81" s="2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spans="1:30" ht="15.75" customHeight="1" x14ac:dyDescent="0.3">
      <c r="A82" s="20"/>
      <c r="B82" s="21"/>
      <c r="C82" s="2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spans="1:30" ht="15.75" customHeight="1" x14ac:dyDescent="0.3">
      <c r="A83" s="20"/>
      <c r="B83" s="21"/>
      <c r="C83" s="2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spans="1:30" ht="15.75" customHeight="1" x14ac:dyDescent="0.3">
      <c r="A84" s="20"/>
      <c r="B84" s="21"/>
      <c r="C84" s="2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spans="1:30" ht="15.75" customHeight="1" x14ac:dyDescent="0.3">
      <c r="A85" s="20"/>
      <c r="B85" s="21"/>
      <c r="C85" s="2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spans="1:30" ht="15.75" customHeight="1" x14ac:dyDescent="0.3">
      <c r="A86" s="20"/>
      <c r="B86" s="21"/>
      <c r="C86" s="2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spans="1:30" ht="15.75" customHeight="1" x14ac:dyDescent="0.3">
      <c r="A87" s="20"/>
      <c r="B87" s="21"/>
      <c r="C87" s="2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spans="1:30" ht="15.75" customHeight="1" x14ac:dyDescent="0.3">
      <c r="A88" s="20"/>
      <c r="B88" s="21"/>
      <c r="C88" s="2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spans="1:30" ht="15.75" customHeight="1" x14ac:dyDescent="0.3">
      <c r="A89" s="20"/>
      <c r="B89" s="21"/>
      <c r="C89" s="2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spans="1:30" ht="15.75" customHeight="1" x14ac:dyDescent="0.3">
      <c r="A90" s="20"/>
      <c r="B90" s="21"/>
      <c r="C90" s="2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spans="1:30" ht="15.75" customHeight="1" x14ac:dyDescent="0.3">
      <c r="A91" s="20"/>
      <c r="B91" s="21"/>
      <c r="C91" s="2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spans="1:30" ht="15.75" customHeight="1" x14ac:dyDescent="0.3">
      <c r="A92" s="20"/>
      <c r="B92" s="21"/>
      <c r="C92" s="2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spans="1:30" ht="15.75" customHeight="1" x14ac:dyDescent="0.3">
      <c r="A93" s="20"/>
      <c r="B93" s="21"/>
      <c r="C93" s="2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spans="1:30" ht="15.75" customHeight="1" x14ac:dyDescent="0.3">
      <c r="A94" s="20"/>
      <c r="B94" s="21"/>
      <c r="C94" s="2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spans="1:30" ht="15.75" customHeight="1" x14ac:dyDescent="0.3">
      <c r="A95" s="20"/>
      <c r="B95" s="21"/>
      <c r="C95" s="2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spans="1:30" ht="15.75" customHeight="1" x14ac:dyDescent="0.3">
      <c r="A96" s="20"/>
      <c r="B96" s="21"/>
      <c r="C96" s="2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spans="1:30" ht="15.75" customHeight="1" x14ac:dyDescent="0.3">
      <c r="A97" s="20"/>
      <c r="B97" s="21"/>
      <c r="C97" s="2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spans="1:30" ht="15.75" customHeight="1" x14ac:dyDescent="0.3">
      <c r="A98" s="20"/>
      <c r="B98" s="21"/>
      <c r="C98" s="2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spans="1:30" ht="15.75" customHeight="1" x14ac:dyDescent="0.3">
      <c r="A99" s="20"/>
      <c r="B99" s="21"/>
      <c r="C99" s="2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spans="1:30" ht="15.75" customHeight="1" x14ac:dyDescent="0.3">
      <c r="A100" s="20"/>
      <c r="B100" s="21"/>
      <c r="C100" s="2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spans="1:30" ht="15.75" customHeight="1" x14ac:dyDescent="0.3">
      <c r="A101" s="20"/>
      <c r="B101" s="21"/>
      <c r="C101" s="2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spans="1:30" ht="15.75" customHeight="1" x14ac:dyDescent="0.3">
      <c r="A102" s="20"/>
      <c r="B102" s="21"/>
      <c r="C102" s="2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spans="1:30" ht="15.75" customHeight="1" x14ac:dyDescent="0.3">
      <c r="A103" s="20"/>
      <c r="B103" s="21"/>
      <c r="C103" s="2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spans="1:30" ht="15.75" customHeight="1" x14ac:dyDescent="0.3">
      <c r="A104" s="20"/>
      <c r="B104" s="21"/>
      <c r="C104" s="2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spans="1:30" ht="15.75" customHeight="1" x14ac:dyDescent="0.3">
      <c r="A105" s="20"/>
      <c r="B105" s="21"/>
      <c r="C105" s="2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spans="1:30" ht="15.75" customHeight="1" x14ac:dyDescent="0.3">
      <c r="A106" s="20"/>
      <c r="B106" s="21"/>
      <c r="C106" s="2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spans="1:30" ht="15.75" customHeight="1" x14ac:dyDescent="0.3">
      <c r="A107" s="20"/>
      <c r="B107" s="21"/>
      <c r="C107" s="2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spans="1:30" ht="15.75" customHeight="1" x14ac:dyDescent="0.3">
      <c r="A108" s="20"/>
      <c r="B108" s="21"/>
      <c r="C108" s="2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spans="1:30" ht="15.75" customHeight="1" x14ac:dyDescent="0.3">
      <c r="A109" s="20"/>
      <c r="B109" s="21"/>
      <c r="C109" s="2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spans="1:30" ht="15.75" customHeight="1" x14ac:dyDescent="0.3">
      <c r="A110" s="20"/>
      <c r="B110" s="21"/>
      <c r="C110" s="2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spans="1:30" ht="15.75" customHeight="1" x14ac:dyDescent="0.3">
      <c r="A111" s="20"/>
      <c r="B111" s="21"/>
      <c r="C111" s="2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spans="1:30" ht="15.75" customHeight="1" x14ac:dyDescent="0.3">
      <c r="A112" s="20"/>
      <c r="B112" s="21"/>
      <c r="C112" s="2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spans="1:30" ht="15.75" customHeight="1" x14ac:dyDescent="0.3">
      <c r="A113" s="20"/>
      <c r="B113" s="21"/>
      <c r="C113" s="2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spans="1:30" ht="15.75" customHeight="1" x14ac:dyDescent="0.3">
      <c r="A114" s="20"/>
      <c r="B114" s="21"/>
      <c r="C114" s="2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spans="1:30" ht="15.75" customHeight="1" x14ac:dyDescent="0.3">
      <c r="A115" s="20"/>
      <c r="B115" s="21"/>
      <c r="C115" s="2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spans="1:30" ht="15.75" customHeight="1" x14ac:dyDescent="0.3">
      <c r="A116" s="20"/>
      <c r="B116" s="21"/>
      <c r="C116" s="2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spans="1:30" ht="15.75" customHeight="1" x14ac:dyDescent="0.3">
      <c r="A117" s="20"/>
      <c r="B117" s="21"/>
      <c r="C117" s="2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spans="1:30" ht="15.75" customHeight="1" x14ac:dyDescent="0.3">
      <c r="A118" s="20"/>
      <c r="B118" s="21"/>
      <c r="C118" s="2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spans="1:30" ht="15.75" customHeight="1" x14ac:dyDescent="0.3">
      <c r="A119" s="20"/>
      <c r="B119" s="21"/>
      <c r="C119" s="2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spans="1:30" ht="15.75" customHeight="1" x14ac:dyDescent="0.3">
      <c r="A120" s="20"/>
      <c r="B120" s="21"/>
      <c r="C120" s="2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spans="1:30" ht="15.75" customHeight="1" x14ac:dyDescent="0.3">
      <c r="A121" s="20"/>
      <c r="B121" s="21"/>
      <c r="C121" s="2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spans="1:30" ht="15.75" customHeight="1" x14ac:dyDescent="0.3">
      <c r="A122" s="20"/>
      <c r="B122" s="21"/>
      <c r="C122" s="2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spans="1:30" ht="15.75" customHeight="1" x14ac:dyDescent="0.3">
      <c r="A123" s="20"/>
      <c r="B123" s="21"/>
      <c r="C123" s="2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spans="1:30" ht="15.75" customHeight="1" x14ac:dyDescent="0.3">
      <c r="A124" s="20"/>
      <c r="B124" s="21"/>
      <c r="C124" s="2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spans="1:30" ht="15.75" customHeight="1" x14ac:dyDescent="0.3">
      <c r="A125" s="20"/>
      <c r="B125" s="21"/>
      <c r="C125" s="2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spans="1:30" ht="15.75" customHeight="1" x14ac:dyDescent="0.3">
      <c r="A126" s="20"/>
      <c r="B126" s="21"/>
      <c r="C126" s="2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spans="1:30" ht="15.75" customHeight="1" x14ac:dyDescent="0.3">
      <c r="A127" s="20"/>
      <c r="B127" s="21"/>
      <c r="C127" s="2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spans="1:30" ht="15.75" customHeight="1" x14ac:dyDescent="0.3">
      <c r="A128" s="20"/>
      <c r="B128" s="21"/>
      <c r="C128" s="2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spans="1:30" ht="15.75" customHeight="1" x14ac:dyDescent="0.3">
      <c r="A129" s="20"/>
      <c r="B129" s="21"/>
      <c r="C129" s="2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spans="1:30" ht="15.75" customHeight="1" x14ac:dyDescent="0.3">
      <c r="A130" s="20"/>
      <c r="B130" s="21"/>
      <c r="C130" s="2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spans="1:30" ht="15.75" customHeight="1" x14ac:dyDescent="0.3">
      <c r="A131" s="20"/>
      <c r="B131" s="21"/>
      <c r="C131" s="2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spans="1:30" ht="15.75" customHeight="1" x14ac:dyDescent="0.3">
      <c r="A132" s="20"/>
      <c r="B132" s="21"/>
      <c r="C132" s="2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spans="1:30" ht="15.75" customHeight="1" x14ac:dyDescent="0.3">
      <c r="A133" s="20"/>
      <c r="B133" s="21"/>
      <c r="C133" s="2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spans="1:30" ht="15.75" customHeight="1" x14ac:dyDescent="0.3">
      <c r="A134" s="20"/>
      <c r="B134" s="21"/>
      <c r="C134" s="2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spans="1:30" ht="15.75" customHeight="1" x14ac:dyDescent="0.3">
      <c r="A135" s="20"/>
      <c r="B135" s="21"/>
      <c r="C135" s="2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spans="1:30" ht="15.75" customHeight="1" x14ac:dyDescent="0.3">
      <c r="A136" s="20"/>
      <c r="B136" s="21"/>
      <c r="C136" s="2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spans="1:30" ht="15.75" customHeight="1" x14ac:dyDescent="0.3">
      <c r="A137" s="20"/>
      <c r="B137" s="21"/>
      <c r="C137" s="2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spans="1:30" ht="15.75" customHeight="1" x14ac:dyDescent="0.3">
      <c r="A138" s="20"/>
      <c r="B138" s="21"/>
      <c r="C138" s="2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spans="1:30" ht="15.75" customHeight="1" x14ac:dyDescent="0.3">
      <c r="A139" s="20"/>
      <c r="B139" s="21"/>
      <c r="C139" s="2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spans="1:30" ht="15.75" customHeight="1" x14ac:dyDescent="0.3">
      <c r="A140" s="20"/>
      <c r="B140" s="21"/>
      <c r="C140" s="2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spans="1:30" ht="15.75" customHeight="1" x14ac:dyDescent="0.3">
      <c r="A141" s="20"/>
      <c r="B141" s="21"/>
      <c r="C141" s="2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spans="1:30" ht="15.75" customHeight="1" x14ac:dyDescent="0.3">
      <c r="A142" s="20"/>
      <c r="B142" s="21"/>
      <c r="C142" s="2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spans="1:30" ht="15.75" customHeight="1" x14ac:dyDescent="0.3">
      <c r="A143" s="20"/>
      <c r="B143" s="21"/>
      <c r="C143" s="2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spans="1:30" ht="15.75" customHeight="1" x14ac:dyDescent="0.3">
      <c r="A144" s="20"/>
      <c r="B144" s="21"/>
      <c r="C144" s="2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spans="1:30" ht="15.75" customHeight="1" x14ac:dyDescent="0.3">
      <c r="A145" s="20"/>
      <c r="B145" s="21"/>
      <c r="C145" s="2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spans="1:30" ht="15.75" customHeight="1" x14ac:dyDescent="0.3">
      <c r="A146" s="20"/>
      <c r="B146" s="21"/>
      <c r="C146" s="2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spans="1:30" ht="15.75" customHeight="1" x14ac:dyDescent="0.3">
      <c r="A147" s="20"/>
      <c r="B147" s="21"/>
      <c r="C147" s="2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spans="1:30" ht="15.75" customHeight="1" x14ac:dyDescent="0.3">
      <c r="A148" s="20"/>
      <c r="B148" s="21"/>
      <c r="C148" s="2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spans="1:30" ht="15.75" customHeight="1" x14ac:dyDescent="0.3">
      <c r="A149" s="20"/>
      <c r="B149" s="21"/>
      <c r="C149" s="2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spans="1:30" ht="15.75" customHeight="1" x14ac:dyDescent="0.3">
      <c r="A150" s="20"/>
      <c r="B150" s="21"/>
      <c r="C150" s="2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spans="1:30" ht="15.75" customHeight="1" x14ac:dyDescent="0.3">
      <c r="A151" s="20"/>
      <c r="B151" s="21"/>
      <c r="C151" s="2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spans="1:30" ht="15.75" customHeight="1" x14ac:dyDescent="0.3">
      <c r="A152" s="20"/>
      <c r="B152" s="21"/>
      <c r="C152" s="2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spans="1:30" ht="15.75" customHeight="1" x14ac:dyDescent="0.3">
      <c r="A153" s="20"/>
      <c r="B153" s="21"/>
      <c r="C153" s="2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spans="1:30" ht="15.75" customHeight="1" x14ac:dyDescent="0.3">
      <c r="A154" s="20"/>
      <c r="B154" s="21"/>
      <c r="C154" s="2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spans="1:30" ht="15.75" customHeight="1" x14ac:dyDescent="0.3">
      <c r="A155" s="20"/>
      <c r="B155" s="21"/>
      <c r="C155" s="2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spans="1:30" ht="15.75" customHeight="1" x14ac:dyDescent="0.3">
      <c r="A156" s="20"/>
      <c r="B156" s="21"/>
      <c r="C156" s="2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spans="1:30" ht="15.75" customHeight="1" x14ac:dyDescent="0.3">
      <c r="A157" s="20"/>
      <c r="B157" s="21"/>
      <c r="C157" s="2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spans="1:30" ht="15.75" customHeight="1" x14ac:dyDescent="0.3">
      <c r="A158" s="20"/>
      <c r="B158" s="21"/>
      <c r="C158" s="2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spans="1:30" ht="15.75" customHeight="1" x14ac:dyDescent="0.3">
      <c r="A159" s="20"/>
      <c r="B159" s="21"/>
      <c r="C159" s="2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spans="1:30" ht="15.75" customHeight="1" x14ac:dyDescent="0.3">
      <c r="A160" s="20"/>
      <c r="B160" s="21"/>
      <c r="C160" s="2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spans="1:30" ht="15.75" customHeight="1" x14ac:dyDescent="0.3">
      <c r="A161" s="20"/>
      <c r="B161" s="21"/>
      <c r="C161" s="2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spans="1:30" ht="15.75" customHeight="1" x14ac:dyDescent="0.3">
      <c r="A162" s="20"/>
      <c r="B162" s="21"/>
      <c r="C162" s="2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spans="1:30" ht="15.75" customHeight="1" x14ac:dyDescent="0.3">
      <c r="A163" s="20"/>
      <c r="B163" s="21"/>
      <c r="C163" s="2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spans="1:30" ht="15.75" customHeight="1" x14ac:dyDescent="0.3">
      <c r="A164" s="20"/>
      <c r="B164" s="21"/>
      <c r="C164" s="2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spans="1:30" ht="15.75" customHeight="1" x14ac:dyDescent="0.3">
      <c r="A165" s="20"/>
      <c r="B165" s="21"/>
      <c r="C165" s="2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spans="1:30" ht="15.75" customHeight="1" x14ac:dyDescent="0.3">
      <c r="A166" s="20"/>
      <c r="B166" s="21"/>
      <c r="C166" s="2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spans="1:30" ht="15.75" customHeight="1" x14ac:dyDescent="0.3">
      <c r="A167" s="20"/>
      <c r="B167" s="21"/>
      <c r="C167" s="2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spans="1:30" ht="15.75" customHeight="1" x14ac:dyDescent="0.3">
      <c r="A168" s="20"/>
      <c r="B168" s="21"/>
      <c r="C168" s="2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0" ht="15.75" customHeight="1" x14ac:dyDescent="0.3">
      <c r="A169" s="20"/>
      <c r="B169" s="21"/>
      <c r="C169" s="2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0" ht="15.75" customHeight="1" x14ac:dyDescent="0.3">
      <c r="A170" s="20"/>
      <c r="B170" s="21"/>
      <c r="C170" s="2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0" ht="15.75" customHeight="1" x14ac:dyDescent="0.3">
      <c r="A171" s="20"/>
      <c r="B171" s="21"/>
      <c r="C171" s="2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ht="15.75" customHeight="1" x14ac:dyDescent="0.3">
      <c r="A172" s="20"/>
      <c r="B172" s="21"/>
      <c r="C172" s="2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0" ht="15.75" customHeight="1" x14ac:dyDescent="0.3">
      <c r="A173" s="20"/>
      <c r="B173" s="21"/>
      <c r="C173" s="2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0" ht="15.75" customHeight="1" x14ac:dyDescent="0.3">
      <c r="A174" s="20"/>
      <c r="B174" s="21"/>
      <c r="C174" s="2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0" ht="15.75" customHeight="1" x14ac:dyDescent="0.3">
      <c r="A175" s="20"/>
      <c r="B175" s="21"/>
      <c r="C175" s="2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0" ht="15.75" customHeight="1" x14ac:dyDescent="0.3">
      <c r="A176" s="20"/>
      <c r="B176" s="21"/>
      <c r="C176" s="2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ht="15.75" customHeight="1" x14ac:dyDescent="0.3">
      <c r="A177" s="20"/>
      <c r="B177" s="21"/>
      <c r="C177" s="2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ht="15.75" customHeight="1" x14ac:dyDescent="0.3">
      <c r="A178" s="20"/>
      <c r="B178" s="21"/>
      <c r="C178" s="2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ht="15.75" customHeight="1" x14ac:dyDescent="0.3">
      <c r="A179" s="20"/>
      <c r="B179" s="21"/>
      <c r="C179" s="2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ht="15.75" customHeight="1" x14ac:dyDescent="0.3">
      <c r="A180" s="20"/>
      <c r="B180" s="21"/>
      <c r="C180" s="2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ht="15.75" customHeight="1" x14ac:dyDescent="0.3">
      <c r="A181" s="20"/>
      <c r="B181" s="21"/>
      <c r="C181" s="2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ht="15.75" customHeight="1" x14ac:dyDescent="0.3">
      <c r="A182" s="20"/>
      <c r="B182" s="21"/>
      <c r="C182" s="2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ht="15.75" customHeight="1" x14ac:dyDescent="0.3">
      <c r="A183" s="20"/>
      <c r="B183" s="21"/>
      <c r="C183" s="2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ht="15.75" customHeight="1" x14ac:dyDescent="0.3">
      <c r="A184" s="20"/>
      <c r="B184" s="21"/>
      <c r="C184" s="2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ht="15.75" customHeight="1" x14ac:dyDescent="0.3">
      <c r="A185" s="20"/>
      <c r="B185" s="21"/>
      <c r="C185" s="2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ht="15.75" customHeight="1" x14ac:dyDescent="0.3">
      <c r="A186" s="20"/>
      <c r="B186" s="21"/>
      <c r="C186" s="2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ht="15.75" customHeight="1" x14ac:dyDescent="0.3">
      <c r="A187" s="20"/>
      <c r="B187" s="21"/>
      <c r="C187" s="2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ht="15.75" customHeight="1" x14ac:dyDescent="0.3">
      <c r="A188" s="20"/>
      <c r="B188" s="21"/>
      <c r="C188" s="2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ht="15.75" customHeight="1" x14ac:dyDescent="0.3">
      <c r="A189" s="20"/>
      <c r="B189" s="21"/>
      <c r="C189" s="2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ht="15.75" customHeight="1" x14ac:dyDescent="0.3">
      <c r="A190" s="20"/>
      <c r="B190" s="21"/>
      <c r="C190" s="2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ht="15.75" customHeight="1" x14ac:dyDescent="0.3">
      <c r="A191" s="20"/>
      <c r="B191" s="21"/>
      <c r="C191" s="2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ht="15.75" customHeight="1" x14ac:dyDescent="0.3">
      <c r="A192" s="20"/>
      <c r="B192" s="21"/>
      <c r="C192" s="2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ht="15.75" customHeight="1" x14ac:dyDescent="0.3">
      <c r="A193" s="20"/>
      <c r="B193" s="21"/>
      <c r="C193" s="2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ht="15.75" customHeight="1" x14ac:dyDescent="0.3">
      <c r="A194" s="20"/>
      <c r="B194" s="21"/>
      <c r="C194" s="2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ht="15.75" customHeight="1" x14ac:dyDescent="0.3">
      <c r="A195" s="20"/>
      <c r="B195" s="21"/>
      <c r="C195" s="2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ht="15.75" customHeight="1" x14ac:dyDescent="0.3">
      <c r="A196" s="20"/>
      <c r="B196" s="21"/>
      <c r="C196" s="2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ht="15.75" customHeight="1" x14ac:dyDescent="0.3">
      <c r="A197" s="20"/>
      <c r="B197" s="21"/>
      <c r="C197" s="2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ht="15.75" customHeight="1" x14ac:dyDescent="0.3">
      <c r="A198" s="20"/>
      <c r="B198" s="21"/>
      <c r="C198" s="2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ht="15.75" customHeight="1" x14ac:dyDescent="0.3">
      <c r="A199" s="20"/>
      <c r="B199" s="21"/>
      <c r="C199" s="2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ht="15.75" customHeight="1" x14ac:dyDescent="0.3">
      <c r="A200" s="20"/>
      <c r="B200" s="21"/>
      <c r="C200" s="2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ht="15.75" customHeight="1" x14ac:dyDescent="0.3">
      <c r="A201" s="20"/>
      <c r="B201" s="21"/>
      <c r="C201" s="2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ht="15.75" customHeight="1" x14ac:dyDescent="0.3">
      <c r="A202" s="20"/>
      <c r="B202" s="21"/>
      <c r="C202" s="2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ht="15.75" customHeight="1" x14ac:dyDescent="0.3">
      <c r="A203" s="20"/>
      <c r="B203" s="21"/>
      <c r="C203" s="2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ht="15.75" customHeight="1" x14ac:dyDescent="0.3">
      <c r="A204" s="20"/>
      <c r="B204" s="21"/>
      <c r="C204" s="2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ht="15.75" customHeight="1" x14ac:dyDescent="0.3">
      <c r="A205" s="20"/>
      <c r="B205" s="21"/>
      <c r="C205" s="2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ht="15.75" customHeight="1" x14ac:dyDescent="0.3">
      <c r="A206" s="20"/>
      <c r="B206" s="21"/>
      <c r="C206" s="2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ht="15.75" customHeight="1" x14ac:dyDescent="0.3">
      <c r="A207" s="20"/>
      <c r="B207" s="21"/>
      <c r="C207" s="2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ht="15.75" customHeight="1" x14ac:dyDescent="0.3">
      <c r="A208" s="20"/>
      <c r="B208" s="21"/>
      <c r="C208" s="2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ht="15.75" customHeight="1" x14ac:dyDescent="0.3">
      <c r="A209" s="20"/>
      <c r="B209" s="21"/>
      <c r="C209" s="2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ht="15.75" customHeight="1" x14ac:dyDescent="0.3">
      <c r="A210" s="20"/>
      <c r="B210" s="21"/>
      <c r="C210" s="2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ht="15.75" customHeight="1" x14ac:dyDescent="0.3">
      <c r="A211" s="20"/>
      <c r="B211" s="21"/>
      <c r="C211" s="2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ht="15.75" customHeight="1" x14ac:dyDescent="0.3">
      <c r="A212" s="20"/>
      <c r="B212" s="21"/>
      <c r="C212" s="2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ht="15.75" customHeight="1" x14ac:dyDescent="0.3">
      <c r="A213" s="20"/>
      <c r="B213" s="21"/>
      <c r="C213" s="2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ht="15.75" customHeight="1" x14ac:dyDescent="0.3">
      <c r="A214" s="20"/>
      <c r="B214" s="21"/>
      <c r="C214" s="2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ht="15.75" customHeight="1" x14ac:dyDescent="0.3">
      <c r="A215" s="20"/>
      <c r="B215" s="21"/>
      <c r="C215" s="2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ht="15.75" customHeight="1" x14ac:dyDescent="0.3">
      <c r="A216" s="20"/>
      <c r="B216" s="21"/>
      <c r="C216" s="2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ht="15.75" customHeight="1" x14ac:dyDescent="0.3">
      <c r="A217" s="20"/>
      <c r="B217" s="21"/>
      <c r="C217" s="2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ht="15.75" customHeight="1" x14ac:dyDescent="0.3">
      <c r="A218" s="20"/>
      <c r="B218" s="21"/>
      <c r="C218" s="2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ht="15.75" customHeight="1" x14ac:dyDescent="0.3">
      <c r="A219" s="20"/>
      <c r="B219" s="21"/>
      <c r="C219" s="2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ht="15.75" customHeight="1" x14ac:dyDescent="0.3">
      <c r="A220" s="20"/>
      <c r="B220" s="21"/>
      <c r="C220" s="2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ht="15.75" customHeight="1" x14ac:dyDescent="0.3">
      <c r="A221" s="20"/>
      <c r="B221" s="21"/>
      <c r="C221" s="2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ht="15.75" customHeight="1" x14ac:dyDescent="0.3">
      <c r="A222" s="20"/>
      <c r="B222" s="21"/>
      <c r="C222" s="2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ht="15.75" customHeight="1" x14ac:dyDescent="0.3">
      <c r="A223" s="20"/>
      <c r="B223" s="21"/>
      <c r="C223" s="2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ht="15.75" customHeight="1" x14ac:dyDescent="0.3">
      <c r="A224" s="20"/>
      <c r="B224" s="21"/>
      <c r="C224" s="2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ht="15.75" customHeight="1" x14ac:dyDescent="0.3">
      <c r="A225" s="20"/>
      <c r="B225" s="21"/>
      <c r="C225" s="2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ht="15.75" customHeight="1" x14ac:dyDescent="0.3">
      <c r="A226" s="20"/>
      <c r="B226" s="21"/>
      <c r="C226" s="2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ht="15.75" customHeight="1" x14ac:dyDescent="0.3">
      <c r="A227" s="20"/>
      <c r="B227" s="21"/>
      <c r="C227" s="2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ht="15.75" customHeight="1" x14ac:dyDescent="0.3">
      <c r="A228" s="20"/>
      <c r="B228" s="21"/>
      <c r="C228" s="2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ht="15.75" customHeight="1" x14ac:dyDescent="0.3">
      <c r="A229" s="20"/>
      <c r="B229" s="21"/>
      <c r="C229" s="2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ht="15.75" customHeight="1" x14ac:dyDescent="0.3">
      <c r="A230" s="20"/>
      <c r="B230" s="21"/>
      <c r="C230" s="2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ht="15.75" customHeight="1" x14ac:dyDescent="0.3">
      <c r="A231" s="20"/>
      <c r="B231" s="21"/>
      <c r="C231" s="2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ht="15.75" customHeight="1" x14ac:dyDescent="0.3">
      <c r="A232" s="20"/>
      <c r="B232" s="21"/>
      <c r="C232" s="2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ht="15.75" customHeight="1" x14ac:dyDescent="0.3">
      <c r="A233" s="20"/>
      <c r="B233" s="21"/>
      <c r="C233" s="2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ht="15.75" customHeight="1" x14ac:dyDescent="0.3">
      <c r="A234" s="20"/>
      <c r="B234" s="21"/>
      <c r="C234" s="2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ht="15.75" customHeight="1" x14ac:dyDescent="0.3">
      <c r="A235" s="20"/>
      <c r="B235" s="21"/>
      <c r="C235" s="2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ht="15.75" customHeight="1" x14ac:dyDescent="0.3">
      <c r="A236" s="20"/>
      <c r="B236" s="21"/>
      <c r="C236" s="2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ht="15.75" customHeight="1" x14ac:dyDescent="0.3">
      <c r="A237" s="20"/>
      <c r="B237" s="21"/>
      <c r="C237" s="2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ht="15.75" customHeight="1" x14ac:dyDescent="0.3">
      <c r="A238" s="20"/>
      <c r="B238" s="21"/>
      <c r="C238" s="2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ht="15.75" customHeight="1" x14ac:dyDescent="0.3">
      <c r="A239" s="20"/>
      <c r="B239" s="21"/>
      <c r="C239" s="2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ht="15.75" customHeight="1" x14ac:dyDescent="0.3">
      <c r="A240" s="20"/>
      <c r="B240" s="21"/>
      <c r="C240" s="2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ht="15.75" customHeight="1" x14ac:dyDescent="0.3">
      <c r="A241" s="20"/>
      <c r="B241" s="21"/>
      <c r="C241" s="2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ht="15.75" customHeight="1" x14ac:dyDescent="0.3">
      <c r="A242" s="20"/>
      <c r="B242" s="21"/>
      <c r="C242" s="2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ht="15.75" customHeight="1" x14ac:dyDescent="0.3">
      <c r="A243" s="20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ht="15.75" customHeight="1" x14ac:dyDescent="0.3">
      <c r="A244" s="20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ht="15.75" customHeight="1" x14ac:dyDescent="0.3">
      <c r="A245" s="20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ht="15.75" customHeight="1" x14ac:dyDescent="0.3">
      <c r="A246" s="20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ht="15.75" customHeight="1" x14ac:dyDescent="0.3">
      <c r="A247" s="20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ht="15.75" customHeight="1" x14ac:dyDescent="0.3">
      <c r="A248" s="20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ht="15.75" customHeight="1" x14ac:dyDescent="0.3">
      <c r="A249" s="20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ht="15.75" customHeight="1" x14ac:dyDescent="0.3">
      <c r="A250" s="20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ht="15.75" customHeight="1" x14ac:dyDescent="0.3">
      <c r="A251" s="20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ht="15.75" customHeight="1" x14ac:dyDescent="0.3">
      <c r="A252" s="20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ht="15.75" customHeight="1" x14ac:dyDescent="0.3">
      <c r="A253" s="20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ht="15.75" customHeight="1" x14ac:dyDescent="0.3">
      <c r="A254" s="20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ht="15.75" customHeight="1" x14ac:dyDescent="0.3">
      <c r="A255" s="20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ht="15.75" customHeight="1" x14ac:dyDescent="0.3">
      <c r="A256" s="20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ht="15.75" customHeight="1" x14ac:dyDescent="0.3">
      <c r="A257" s="20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ht="15.75" customHeight="1" x14ac:dyDescent="0.3">
      <c r="A258" s="20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ht="15.75" customHeight="1" x14ac:dyDescent="0.3">
      <c r="A259" s="20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ht="15.75" customHeight="1" x14ac:dyDescent="0.3">
      <c r="A260" s="20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ht="15.75" customHeight="1" x14ac:dyDescent="0.3">
      <c r="A261" s="20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ht="15.75" customHeight="1" x14ac:dyDescent="0.3">
      <c r="A262" s="20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ht="15.75" customHeight="1" x14ac:dyDescent="0.3">
      <c r="A263" s="20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ht="15.75" customHeight="1" x14ac:dyDescent="0.3">
      <c r="A264" s="20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ht="15.75" customHeight="1" x14ac:dyDescent="0.3">
      <c r="A265" s="20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ht="15.75" customHeight="1" x14ac:dyDescent="0.3">
      <c r="A266" s="20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ht="15.75" customHeight="1" x14ac:dyDescent="0.3">
      <c r="A267" s="20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ht="15.75" customHeight="1" x14ac:dyDescent="0.3">
      <c r="A268" s="20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ht="15.75" customHeight="1" x14ac:dyDescent="0.3">
      <c r="A269" s="20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ht="15.75" customHeight="1" x14ac:dyDescent="0.3">
      <c r="A270" s="20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ht="15.75" customHeight="1" x14ac:dyDescent="0.3">
      <c r="A271" s="20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ht="15.75" customHeight="1" x14ac:dyDescent="0.3">
      <c r="A272" s="20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ht="15.75" customHeight="1" x14ac:dyDescent="0.3">
      <c r="A273" s="20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ht="15.75" customHeight="1" x14ac:dyDescent="0.3">
      <c r="A274" s="20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ht="15.75" customHeight="1" x14ac:dyDescent="0.3">
      <c r="A275" s="20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ht="15.75" customHeight="1" x14ac:dyDescent="0.3">
      <c r="A276" s="20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ht="15.75" customHeight="1" x14ac:dyDescent="0.3">
      <c r="A277" s="20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ht="15.75" customHeight="1" x14ac:dyDescent="0.3">
      <c r="A278" s="20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ht="15.75" customHeight="1" x14ac:dyDescent="0.3">
      <c r="A279" s="20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ht="15.75" customHeight="1" x14ac:dyDescent="0.3">
      <c r="A280" s="20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ht="15.75" customHeight="1" x14ac:dyDescent="0.3">
      <c r="A281" s="20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ht="15.75" customHeight="1" x14ac:dyDescent="0.3">
      <c r="A282" s="20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ht="15.75" customHeight="1" x14ac:dyDescent="0.3">
      <c r="A283" s="20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ht="15.75" customHeight="1" x14ac:dyDescent="0.3">
      <c r="A284" s="20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ht="15.75" customHeight="1" x14ac:dyDescent="0.3">
      <c r="A285" s="20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ht="15.75" customHeight="1" x14ac:dyDescent="0.3">
      <c r="A286" s="20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ht="15.75" customHeight="1" x14ac:dyDescent="0.3">
      <c r="A287" s="20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ht="15.75" customHeight="1" x14ac:dyDescent="0.3">
      <c r="A288" s="20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ht="15.75" customHeight="1" x14ac:dyDescent="0.3">
      <c r="A289" s="20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ht="15.75" customHeight="1" x14ac:dyDescent="0.3">
      <c r="A290" s="20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ht="15.75" customHeight="1" x14ac:dyDescent="0.3">
      <c r="A291" s="20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ht="15.75" customHeight="1" x14ac:dyDescent="0.3">
      <c r="A292" s="20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ht="15.75" customHeight="1" x14ac:dyDescent="0.3">
      <c r="A293" s="20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ht="15.75" customHeight="1" x14ac:dyDescent="0.3">
      <c r="A294" s="20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ht="15.75" customHeight="1" x14ac:dyDescent="0.3">
      <c r="A295" s="20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ht="15.75" customHeight="1" x14ac:dyDescent="0.3">
      <c r="A296" s="20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ht="15.75" customHeight="1" x14ac:dyDescent="0.3">
      <c r="A297" s="20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ht="15.75" customHeight="1" x14ac:dyDescent="0.3">
      <c r="A298" s="20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ht="15.75" customHeight="1" x14ac:dyDescent="0.3">
      <c r="A299" s="20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ht="15.75" customHeight="1" x14ac:dyDescent="0.3">
      <c r="A300" s="20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ht="15.75" customHeight="1" x14ac:dyDescent="0.3">
      <c r="A301" s="20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ht="15.75" customHeight="1" x14ac:dyDescent="0.3">
      <c r="A302" s="20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ht="15.75" customHeight="1" x14ac:dyDescent="0.3">
      <c r="A303" s="20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ht="15.75" customHeight="1" x14ac:dyDescent="0.3">
      <c r="A304" s="20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ht="15.75" customHeight="1" x14ac:dyDescent="0.3">
      <c r="A305" s="20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ht="15.75" customHeight="1" x14ac:dyDescent="0.3">
      <c r="A306" s="20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ht="15.75" customHeight="1" x14ac:dyDescent="0.3">
      <c r="A307" s="20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ht="15.75" customHeight="1" x14ac:dyDescent="0.3">
      <c r="A308" s="20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ht="15.75" customHeight="1" x14ac:dyDescent="0.3">
      <c r="A309" s="20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ht="15.75" customHeight="1" x14ac:dyDescent="0.3">
      <c r="A310" s="20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ht="15.75" customHeight="1" x14ac:dyDescent="0.3">
      <c r="A311" s="20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ht="15.75" customHeight="1" x14ac:dyDescent="0.3">
      <c r="A312" s="20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ht="15.75" customHeight="1" x14ac:dyDescent="0.3">
      <c r="A313" s="20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ht="15.75" customHeight="1" x14ac:dyDescent="0.3">
      <c r="A314" s="20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ht="15.75" customHeight="1" x14ac:dyDescent="0.3">
      <c r="A315" s="20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ht="15.75" customHeight="1" x14ac:dyDescent="0.3">
      <c r="A316" s="20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ht="15.75" customHeight="1" x14ac:dyDescent="0.3">
      <c r="A317" s="20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ht="15.75" customHeight="1" x14ac:dyDescent="0.3">
      <c r="A318" s="20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ht="15.75" customHeight="1" x14ac:dyDescent="0.3">
      <c r="A319" s="20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ht="15.75" customHeight="1" x14ac:dyDescent="0.3">
      <c r="A320" s="20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ht="15.75" customHeight="1" x14ac:dyDescent="0.3">
      <c r="A321" s="20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ht="15.75" customHeight="1" x14ac:dyDescent="0.3">
      <c r="A322" s="20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ht="15.75" customHeight="1" x14ac:dyDescent="0.3">
      <c r="A323" s="20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ht="15.75" customHeight="1" x14ac:dyDescent="0.3">
      <c r="A324" s="20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ht="15.75" customHeight="1" x14ac:dyDescent="0.3">
      <c r="A325" s="20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ht="15.75" customHeight="1" x14ac:dyDescent="0.3">
      <c r="A326" s="20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ht="15.75" customHeight="1" x14ac:dyDescent="0.3">
      <c r="A327" s="20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ht="15.75" customHeight="1" x14ac:dyDescent="0.3">
      <c r="A328" s="20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ht="15.75" customHeight="1" x14ac:dyDescent="0.3">
      <c r="A329" s="20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ht="15.75" customHeight="1" x14ac:dyDescent="0.3">
      <c r="A330" s="20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ht="15.75" customHeight="1" x14ac:dyDescent="0.3">
      <c r="A331" s="20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ht="15.75" customHeight="1" x14ac:dyDescent="0.3">
      <c r="A332" s="20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ht="15.75" customHeight="1" x14ac:dyDescent="0.3">
      <c r="A333" s="20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ht="15.75" customHeight="1" x14ac:dyDescent="0.3">
      <c r="A334" s="20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ht="15.75" customHeight="1" x14ac:dyDescent="0.3">
      <c r="A335" s="20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ht="15.75" customHeight="1" x14ac:dyDescent="0.3">
      <c r="A336" s="20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ht="15.75" customHeight="1" x14ac:dyDescent="0.3">
      <c r="A337" s="20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ht="15.75" customHeight="1" x14ac:dyDescent="0.3">
      <c r="A338" s="20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ht="15.75" customHeight="1" x14ac:dyDescent="0.3">
      <c r="A339" s="20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ht="15.75" customHeight="1" x14ac:dyDescent="0.3">
      <c r="A340" s="20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ht="15.75" customHeight="1" x14ac:dyDescent="0.3">
      <c r="A341" s="20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ht="15.75" customHeight="1" x14ac:dyDescent="0.3">
      <c r="A342" s="20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ht="15.75" customHeight="1" x14ac:dyDescent="0.3">
      <c r="A343" s="20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ht="15.75" customHeight="1" x14ac:dyDescent="0.3">
      <c r="A344" s="20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ht="15.75" customHeight="1" x14ac:dyDescent="0.3">
      <c r="A345" s="20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ht="15.75" customHeight="1" x14ac:dyDescent="0.3">
      <c r="A346" s="20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ht="15.75" customHeight="1" x14ac:dyDescent="0.3">
      <c r="A347" s="20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ht="15.75" customHeight="1" x14ac:dyDescent="0.3">
      <c r="A348" s="20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ht="15.75" customHeight="1" x14ac:dyDescent="0.3">
      <c r="A349" s="20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ht="15.75" customHeight="1" x14ac:dyDescent="0.3">
      <c r="A350" s="20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ht="15.75" customHeight="1" x14ac:dyDescent="0.3">
      <c r="A351" s="20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ht="15.75" customHeight="1" x14ac:dyDescent="0.3">
      <c r="A352" s="20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ht="15.75" customHeight="1" x14ac:dyDescent="0.3">
      <c r="A353" s="20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ht="15.75" customHeight="1" x14ac:dyDescent="0.3">
      <c r="A354" s="20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ht="15.75" customHeight="1" x14ac:dyDescent="0.3">
      <c r="A355" s="20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ht="15.75" customHeight="1" x14ac:dyDescent="0.3">
      <c r="A356" s="20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ht="15.75" customHeight="1" x14ac:dyDescent="0.3">
      <c r="A357" s="20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ht="15.75" customHeight="1" x14ac:dyDescent="0.3">
      <c r="A358" s="20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ht="15.75" customHeight="1" x14ac:dyDescent="0.3">
      <c r="A359" s="20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ht="15.75" customHeight="1" x14ac:dyDescent="0.3">
      <c r="A360" s="20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ht="15.75" customHeight="1" x14ac:dyDescent="0.3">
      <c r="A361" s="20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ht="15.75" customHeight="1" x14ac:dyDescent="0.3">
      <c r="A362" s="20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ht="15.75" customHeight="1" x14ac:dyDescent="0.3">
      <c r="A363" s="20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ht="15.75" customHeight="1" x14ac:dyDescent="0.3">
      <c r="A364" s="20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ht="15.75" customHeight="1" x14ac:dyDescent="0.3">
      <c r="A365" s="20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ht="15.75" customHeight="1" x14ac:dyDescent="0.3">
      <c r="A366" s="20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ht="15.75" customHeight="1" x14ac:dyDescent="0.3">
      <c r="A367" s="20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ht="15.75" customHeight="1" x14ac:dyDescent="0.3">
      <c r="A368" s="20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ht="15.75" customHeight="1" x14ac:dyDescent="0.3">
      <c r="A369" s="20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ht="15.75" customHeight="1" x14ac:dyDescent="0.3">
      <c r="A370" s="20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ht="15.75" customHeight="1" x14ac:dyDescent="0.3">
      <c r="A371" s="20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ht="15.75" customHeight="1" x14ac:dyDescent="0.3">
      <c r="A372" s="20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ht="15.75" customHeight="1" x14ac:dyDescent="0.3">
      <c r="A373" s="20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ht="15.75" customHeight="1" x14ac:dyDescent="0.3">
      <c r="A374" s="20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ht="15.75" customHeight="1" x14ac:dyDescent="0.3">
      <c r="A375" s="20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ht="15.75" customHeight="1" x14ac:dyDescent="0.3">
      <c r="A376" s="20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ht="15.75" customHeight="1" x14ac:dyDescent="0.3">
      <c r="A377" s="20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ht="15.75" customHeight="1" x14ac:dyDescent="0.3">
      <c r="A378" s="20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ht="15.75" customHeight="1" x14ac:dyDescent="0.3">
      <c r="A379" s="20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ht="15.75" customHeight="1" x14ac:dyDescent="0.3">
      <c r="A380" s="20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ht="15.75" customHeight="1" x14ac:dyDescent="0.3">
      <c r="A381" s="20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 spans="1:30" ht="15.75" customHeight="1" x14ac:dyDescent="0.3">
      <c r="A382" s="20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 spans="1:30" ht="15.75" customHeight="1" x14ac:dyDescent="0.3">
      <c r="A383" s="20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 spans="1:30" ht="15.75" customHeight="1" x14ac:dyDescent="0.3">
      <c r="A384" s="20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 spans="1:30" ht="15.75" customHeight="1" x14ac:dyDescent="0.3">
      <c r="A385" s="20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 spans="1:30" ht="15.75" customHeight="1" x14ac:dyDescent="0.3">
      <c r="A386" s="20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 spans="1:30" ht="15.75" customHeight="1" x14ac:dyDescent="0.3">
      <c r="A387" s="20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 spans="1:30" ht="15.75" customHeight="1" x14ac:dyDescent="0.3">
      <c r="A388" s="20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 spans="1:30" ht="15.75" customHeight="1" x14ac:dyDescent="0.3">
      <c r="A389" s="20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 spans="1:30" ht="15.75" customHeight="1" x14ac:dyDescent="0.3">
      <c r="A390" s="20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 spans="1:30" ht="15.75" customHeight="1" x14ac:dyDescent="0.3">
      <c r="A391" s="20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 spans="1:30" ht="15.75" customHeight="1" x14ac:dyDescent="0.3">
      <c r="A392" s="20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 spans="1:30" ht="15.75" customHeight="1" x14ac:dyDescent="0.3">
      <c r="A393" s="20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 spans="1:30" ht="15.75" customHeight="1" x14ac:dyDescent="0.3">
      <c r="A394" s="20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 spans="1:30" ht="15.75" customHeight="1" x14ac:dyDescent="0.3">
      <c r="A395" s="20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 spans="1:30" ht="15.75" customHeight="1" x14ac:dyDescent="0.3">
      <c r="A396" s="20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 spans="1:30" ht="15.75" customHeight="1" x14ac:dyDescent="0.3">
      <c r="A397" s="20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 spans="1:30" ht="15.75" customHeight="1" x14ac:dyDescent="0.3">
      <c r="A398" s="20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 spans="1:30" ht="15.75" customHeight="1" x14ac:dyDescent="0.3">
      <c r="A399" s="20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 spans="1:30" ht="15.75" customHeight="1" x14ac:dyDescent="0.3">
      <c r="A400" s="20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 spans="1:30" ht="15.75" customHeight="1" x14ac:dyDescent="0.3">
      <c r="A401" s="20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 spans="1:30" ht="15.75" customHeight="1" x14ac:dyDescent="0.3">
      <c r="A402" s="20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 spans="1:30" ht="15.75" customHeight="1" x14ac:dyDescent="0.3">
      <c r="A403" s="20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 spans="1:30" ht="15.75" customHeight="1" x14ac:dyDescent="0.3">
      <c r="A404" s="20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 spans="1:30" ht="15.75" customHeight="1" x14ac:dyDescent="0.3">
      <c r="A405" s="20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 spans="1:30" ht="15.75" customHeight="1" x14ac:dyDescent="0.3">
      <c r="A406" s="20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 spans="1:30" ht="15.75" customHeight="1" x14ac:dyDescent="0.3">
      <c r="A407" s="20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 spans="1:30" ht="15.75" customHeight="1" x14ac:dyDescent="0.3">
      <c r="A408" s="20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 spans="1:30" ht="15.75" customHeight="1" x14ac:dyDescent="0.3">
      <c r="A409" s="20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 spans="1:30" ht="15.75" customHeight="1" x14ac:dyDescent="0.3">
      <c r="A410" s="20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 spans="1:30" ht="15.75" customHeight="1" x14ac:dyDescent="0.3">
      <c r="A411" s="20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 spans="1:30" ht="15.75" customHeight="1" x14ac:dyDescent="0.3">
      <c r="A412" s="20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 spans="1:30" ht="15.75" customHeight="1" x14ac:dyDescent="0.3">
      <c r="A413" s="20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 spans="1:30" ht="15.75" customHeight="1" x14ac:dyDescent="0.3">
      <c r="A414" s="20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 spans="1:30" ht="15.75" customHeight="1" x14ac:dyDescent="0.3">
      <c r="A415" s="20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 spans="1:30" ht="15.75" customHeight="1" x14ac:dyDescent="0.3">
      <c r="A416" s="20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 spans="1:30" ht="15.75" customHeight="1" x14ac:dyDescent="0.3">
      <c r="A417" s="20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 spans="1:30" ht="15.75" customHeight="1" x14ac:dyDescent="0.3">
      <c r="A418" s="20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 spans="1:30" ht="15.75" customHeight="1" x14ac:dyDescent="0.3">
      <c r="A419" s="20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 spans="1:30" ht="15.75" customHeight="1" x14ac:dyDescent="0.3">
      <c r="A420" s="20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 spans="1:30" ht="15.75" customHeight="1" x14ac:dyDescent="0.3">
      <c r="A421" s="20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 spans="1:30" ht="15.75" customHeight="1" x14ac:dyDescent="0.3">
      <c r="A422" s="20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 spans="1:30" ht="15.75" customHeight="1" x14ac:dyDescent="0.3">
      <c r="A423" s="20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 spans="1:30" ht="15.75" customHeight="1" x14ac:dyDescent="0.3">
      <c r="A424" s="20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 spans="1:30" ht="15.75" customHeight="1" x14ac:dyDescent="0.3">
      <c r="A425" s="20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 spans="1:30" ht="15.75" customHeight="1" x14ac:dyDescent="0.3">
      <c r="A426" s="20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 spans="1:30" ht="15.75" customHeight="1" x14ac:dyDescent="0.3">
      <c r="A427" s="20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 spans="1:30" ht="15.75" customHeight="1" x14ac:dyDescent="0.3">
      <c r="A428" s="20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 spans="1:30" ht="15.75" customHeight="1" x14ac:dyDescent="0.3">
      <c r="A429" s="20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 spans="1:30" ht="15.75" customHeight="1" x14ac:dyDescent="0.3">
      <c r="A430" s="20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 spans="1:30" ht="15.75" customHeight="1" x14ac:dyDescent="0.3">
      <c r="A431" s="20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 spans="1:30" ht="15.75" customHeight="1" x14ac:dyDescent="0.3">
      <c r="A432" s="20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 spans="1:30" ht="15.75" customHeight="1" x14ac:dyDescent="0.3">
      <c r="A433" s="20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 spans="1:30" ht="15.75" customHeight="1" x14ac:dyDescent="0.3">
      <c r="A434" s="20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 spans="1:30" ht="15.75" customHeight="1" x14ac:dyDescent="0.3">
      <c r="A435" s="20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 spans="1:30" ht="15.75" customHeight="1" x14ac:dyDescent="0.3">
      <c r="A436" s="20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 spans="1:30" ht="15.75" customHeight="1" x14ac:dyDescent="0.3">
      <c r="A437" s="20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 spans="1:30" ht="15.75" customHeight="1" x14ac:dyDescent="0.3">
      <c r="A438" s="20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 spans="1:30" ht="15.75" customHeight="1" x14ac:dyDescent="0.3">
      <c r="A439" s="20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 spans="1:30" ht="15.75" customHeight="1" x14ac:dyDescent="0.3">
      <c r="A440" s="20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 spans="1:30" ht="15.75" customHeight="1" x14ac:dyDescent="0.3">
      <c r="A441" s="20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 spans="1:30" ht="15.75" customHeight="1" x14ac:dyDescent="0.3">
      <c r="A442" s="20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 spans="1:30" ht="15.75" customHeight="1" x14ac:dyDescent="0.3">
      <c r="A443" s="20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 spans="1:30" ht="15.75" customHeight="1" x14ac:dyDescent="0.3">
      <c r="A444" s="20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 spans="1:30" ht="15.75" customHeight="1" x14ac:dyDescent="0.3">
      <c r="A445" s="20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 spans="1:30" ht="15.75" customHeight="1" x14ac:dyDescent="0.3">
      <c r="A446" s="20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 spans="1:30" ht="15.75" customHeight="1" x14ac:dyDescent="0.3">
      <c r="A447" s="20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 spans="1:30" ht="15.75" customHeight="1" x14ac:dyDescent="0.3">
      <c r="A448" s="20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 spans="1:30" ht="15.75" customHeight="1" x14ac:dyDescent="0.3">
      <c r="A449" s="20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 spans="1:30" ht="15.75" customHeight="1" x14ac:dyDescent="0.3">
      <c r="A450" s="20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 spans="1:30" ht="15.75" customHeight="1" x14ac:dyDescent="0.3">
      <c r="A451" s="20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 spans="1:30" ht="15.75" customHeight="1" x14ac:dyDescent="0.3">
      <c r="A452" s="20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 spans="1:30" ht="15.75" customHeight="1" x14ac:dyDescent="0.3">
      <c r="A453" s="20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 spans="1:30" ht="15.75" customHeight="1" x14ac:dyDescent="0.3">
      <c r="A454" s="20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 spans="1:30" ht="15.75" customHeight="1" x14ac:dyDescent="0.3">
      <c r="A455" s="20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 spans="1:30" ht="15.75" customHeight="1" x14ac:dyDescent="0.3">
      <c r="A456" s="20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 spans="1:30" ht="15.75" customHeight="1" x14ac:dyDescent="0.3">
      <c r="A457" s="20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 spans="1:30" ht="15.75" customHeight="1" x14ac:dyDescent="0.3">
      <c r="A458" s="20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 spans="1:30" ht="15.75" customHeight="1" x14ac:dyDescent="0.3">
      <c r="A459" s="20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 spans="1:30" ht="15.75" customHeight="1" x14ac:dyDescent="0.3">
      <c r="A460" s="20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 spans="1:30" ht="15.75" customHeight="1" x14ac:dyDescent="0.3">
      <c r="A461" s="20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 spans="1:30" ht="15.75" customHeight="1" x14ac:dyDescent="0.3">
      <c r="A462" s="20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 spans="1:30" ht="15.75" customHeight="1" x14ac:dyDescent="0.3">
      <c r="A463" s="20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 spans="1:30" ht="15.75" customHeight="1" x14ac:dyDescent="0.3">
      <c r="A464" s="20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 spans="1:30" ht="15.75" customHeight="1" x14ac:dyDescent="0.3">
      <c r="A465" s="20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 spans="1:30" ht="15.75" customHeight="1" x14ac:dyDescent="0.3">
      <c r="A466" s="20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 spans="1:30" ht="15.75" customHeight="1" x14ac:dyDescent="0.3">
      <c r="A467" s="20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 spans="1:30" ht="15.75" customHeight="1" x14ac:dyDescent="0.3">
      <c r="A468" s="20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 spans="1:30" ht="15.75" customHeight="1" x14ac:dyDescent="0.3">
      <c r="A469" s="20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 spans="1:30" ht="15.75" customHeight="1" x14ac:dyDescent="0.3">
      <c r="A470" s="20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 spans="1:30" ht="15.75" customHeight="1" x14ac:dyDescent="0.3">
      <c r="A471" s="20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 spans="1:30" ht="15.75" customHeight="1" x14ac:dyDescent="0.3">
      <c r="A472" s="20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 spans="1:30" ht="15.75" customHeight="1" x14ac:dyDescent="0.3">
      <c r="A473" s="20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 spans="1:30" ht="15.75" customHeight="1" x14ac:dyDescent="0.3">
      <c r="A474" s="20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 spans="1:30" ht="15.75" customHeight="1" x14ac:dyDescent="0.3">
      <c r="A475" s="20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 spans="1:30" ht="15.75" customHeight="1" x14ac:dyDescent="0.3">
      <c r="A476" s="20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 spans="1:30" ht="15.75" customHeight="1" x14ac:dyDescent="0.3">
      <c r="A477" s="20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 spans="1:30" ht="15.75" customHeight="1" x14ac:dyDescent="0.3">
      <c r="A478" s="20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 spans="1:30" ht="15.75" customHeight="1" x14ac:dyDescent="0.3">
      <c r="A479" s="20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 spans="1:30" ht="15.75" customHeight="1" x14ac:dyDescent="0.3">
      <c r="A480" s="20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 spans="1:30" ht="15.75" customHeight="1" x14ac:dyDescent="0.3">
      <c r="A481" s="20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 spans="1:30" ht="15.75" customHeight="1" x14ac:dyDescent="0.3">
      <c r="A482" s="20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 spans="1:30" ht="15.75" customHeight="1" x14ac:dyDescent="0.3">
      <c r="A483" s="20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 spans="1:30" ht="15.75" customHeight="1" x14ac:dyDescent="0.3">
      <c r="A484" s="20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 spans="1:30" ht="15.75" customHeight="1" x14ac:dyDescent="0.3">
      <c r="A485" s="20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 spans="1:30" ht="15.75" customHeight="1" x14ac:dyDescent="0.3">
      <c r="A486" s="20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 spans="1:30" ht="15.75" customHeight="1" x14ac:dyDescent="0.3">
      <c r="A487" s="20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 spans="1:30" ht="15.75" customHeight="1" x14ac:dyDescent="0.3">
      <c r="A488" s="20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 spans="1:30" ht="15.75" customHeight="1" x14ac:dyDescent="0.3">
      <c r="A489" s="20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 spans="1:30" ht="15.75" customHeight="1" x14ac:dyDescent="0.3">
      <c r="A490" s="20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 spans="1:30" ht="15.75" customHeight="1" x14ac:dyDescent="0.3">
      <c r="A491" s="20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 spans="1:30" ht="15.75" customHeight="1" x14ac:dyDescent="0.3">
      <c r="A492" s="20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 spans="1:30" ht="15.75" customHeight="1" x14ac:dyDescent="0.3">
      <c r="A493" s="20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 spans="1:30" ht="15.75" customHeight="1" x14ac:dyDescent="0.3">
      <c r="A494" s="20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 spans="1:30" ht="15.75" customHeight="1" x14ac:dyDescent="0.3">
      <c r="A495" s="20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 spans="1:30" ht="15.75" customHeight="1" x14ac:dyDescent="0.3">
      <c r="A496" s="20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 spans="1:30" ht="15.75" customHeight="1" x14ac:dyDescent="0.3">
      <c r="A497" s="20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 spans="1:30" ht="15.75" customHeight="1" x14ac:dyDescent="0.3">
      <c r="A498" s="20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 spans="1:30" ht="15.75" customHeight="1" x14ac:dyDescent="0.3">
      <c r="A499" s="20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 spans="1:30" ht="15.75" customHeight="1" x14ac:dyDescent="0.3">
      <c r="A500" s="20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 spans="1:30" ht="15.75" customHeight="1" x14ac:dyDescent="0.3">
      <c r="A501" s="20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 spans="1:30" ht="15.75" customHeight="1" x14ac:dyDescent="0.3">
      <c r="A502" s="20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 spans="1:30" ht="15.75" customHeight="1" x14ac:dyDescent="0.3">
      <c r="A503" s="20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 spans="1:30" ht="15.75" customHeight="1" x14ac:dyDescent="0.3">
      <c r="A504" s="20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 spans="1:30" ht="15.75" customHeight="1" x14ac:dyDescent="0.3">
      <c r="A505" s="20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 spans="1:30" ht="15.75" customHeight="1" x14ac:dyDescent="0.3">
      <c r="A506" s="20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 spans="1:30" ht="15.75" customHeight="1" x14ac:dyDescent="0.3">
      <c r="A507" s="20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 spans="1:30" ht="15.75" customHeight="1" x14ac:dyDescent="0.3">
      <c r="A508" s="20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 spans="1:30" ht="15.75" customHeight="1" x14ac:dyDescent="0.3">
      <c r="A509" s="20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 spans="1:30" ht="15.75" customHeight="1" x14ac:dyDescent="0.3">
      <c r="A510" s="20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 spans="1:30" ht="15.75" customHeight="1" x14ac:dyDescent="0.3">
      <c r="A511" s="20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 spans="1:30" ht="15.75" customHeight="1" x14ac:dyDescent="0.3">
      <c r="A512" s="20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 spans="1:30" ht="15.75" customHeight="1" x14ac:dyDescent="0.3">
      <c r="A513" s="20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 spans="1:30" ht="15.75" customHeight="1" x14ac:dyDescent="0.3">
      <c r="A514" s="20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 spans="1:30" ht="15.75" customHeight="1" x14ac:dyDescent="0.3">
      <c r="A515" s="20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 spans="1:30" ht="15.75" customHeight="1" x14ac:dyDescent="0.3">
      <c r="A516" s="20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 spans="1:30" ht="15.75" customHeight="1" x14ac:dyDescent="0.3">
      <c r="A517" s="20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 spans="1:30" ht="15.75" customHeight="1" x14ac:dyDescent="0.3">
      <c r="A518" s="20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 spans="1:30" ht="15.75" customHeight="1" x14ac:dyDescent="0.3">
      <c r="A519" s="20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 spans="1:30" ht="15.75" customHeight="1" x14ac:dyDescent="0.3">
      <c r="A520" s="20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 spans="1:30" ht="15.75" customHeight="1" x14ac:dyDescent="0.3">
      <c r="A521" s="20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 spans="1:30" ht="15.75" customHeight="1" x14ac:dyDescent="0.3">
      <c r="A522" s="20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 spans="1:30" ht="15.75" customHeight="1" x14ac:dyDescent="0.3">
      <c r="A523" s="20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 spans="1:30" ht="15.75" customHeight="1" x14ac:dyDescent="0.3">
      <c r="A524" s="20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 spans="1:30" ht="15.75" customHeight="1" x14ac:dyDescent="0.3">
      <c r="A525" s="20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 spans="1:30" ht="15.75" customHeight="1" x14ac:dyDescent="0.3">
      <c r="A526" s="20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 spans="1:30" ht="15.75" customHeight="1" x14ac:dyDescent="0.3">
      <c r="A527" s="20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 spans="1:30" ht="15.75" customHeight="1" x14ac:dyDescent="0.3">
      <c r="A528" s="20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 spans="1:30" ht="15.75" customHeight="1" x14ac:dyDescent="0.3">
      <c r="A529" s="20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 spans="1:30" ht="15.75" customHeight="1" x14ac:dyDescent="0.3">
      <c r="A530" s="20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 spans="1:30" ht="15.75" customHeight="1" x14ac:dyDescent="0.3">
      <c r="A531" s="20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 spans="1:30" ht="15.75" customHeight="1" x14ac:dyDescent="0.3">
      <c r="A532" s="20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 spans="1:30" ht="15.75" customHeight="1" x14ac:dyDescent="0.3">
      <c r="A533" s="20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 spans="1:30" ht="15.75" customHeight="1" x14ac:dyDescent="0.3">
      <c r="A534" s="20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 spans="1:30" ht="15.75" customHeight="1" x14ac:dyDescent="0.3">
      <c r="A535" s="20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 spans="1:30" ht="15.75" customHeight="1" x14ac:dyDescent="0.3">
      <c r="A536" s="20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 spans="1:30" ht="15.75" customHeight="1" x14ac:dyDescent="0.3">
      <c r="A537" s="20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 spans="1:30" ht="15.75" customHeight="1" x14ac:dyDescent="0.3">
      <c r="A538" s="20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 spans="1:30" ht="15.75" customHeight="1" x14ac:dyDescent="0.3">
      <c r="A539" s="20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 spans="1:30" ht="15.75" customHeight="1" x14ac:dyDescent="0.3">
      <c r="A540" s="20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 spans="1:30" ht="15.75" customHeight="1" x14ac:dyDescent="0.3">
      <c r="A541" s="20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 spans="1:30" ht="15.75" customHeight="1" x14ac:dyDescent="0.3">
      <c r="A542" s="20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 spans="1:30" ht="15.75" customHeight="1" x14ac:dyDescent="0.3">
      <c r="A543" s="20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 spans="1:30" ht="15.75" customHeight="1" x14ac:dyDescent="0.3">
      <c r="A544" s="20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 spans="1:30" ht="15.75" customHeight="1" x14ac:dyDescent="0.3">
      <c r="A545" s="20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 spans="1:30" ht="15.75" customHeight="1" x14ac:dyDescent="0.3">
      <c r="A546" s="20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 spans="1:30" ht="15.75" customHeight="1" x14ac:dyDescent="0.3">
      <c r="A547" s="20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 spans="1:30" ht="15.75" customHeight="1" x14ac:dyDescent="0.3">
      <c r="A548" s="20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 spans="1:30" ht="15.75" customHeight="1" x14ac:dyDescent="0.3">
      <c r="A549" s="20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 spans="1:30" ht="15.75" customHeight="1" x14ac:dyDescent="0.3">
      <c r="A550" s="20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 spans="1:30" ht="15.75" customHeight="1" x14ac:dyDescent="0.3">
      <c r="A551" s="20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 spans="1:30" ht="15.75" customHeight="1" x14ac:dyDescent="0.3">
      <c r="A552" s="20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 spans="1:30" ht="15.75" customHeight="1" x14ac:dyDescent="0.3">
      <c r="A553" s="20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 spans="1:30" ht="15.75" customHeight="1" x14ac:dyDescent="0.3">
      <c r="A554" s="20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 spans="1:30" ht="15.75" customHeight="1" x14ac:dyDescent="0.3">
      <c r="A555" s="20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 spans="1:30" ht="15.75" customHeight="1" x14ac:dyDescent="0.3">
      <c r="A556" s="20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 spans="1:30" ht="15.75" customHeight="1" x14ac:dyDescent="0.3">
      <c r="A557" s="20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 spans="1:30" ht="15.75" customHeight="1" x14ac:dyDescent="0.3">
      <c r="A558" s="20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 spans="1:30" ht="15.75" customHeight="1" x14ac:dyDescent="0.3">
      <c r="A559" s="20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 spans="1:30" ht="15.75" customHeight="1" x14ac:dyDescent="0.3">
      <c r="A560" s="20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 spans="1:30" ht="15.75" customHeight="1" x14ac:dyDescent="0.3">
      <c r="A561" s="20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 spans="1:30" ht="15.75" customHeight="1" x14ac:dyDescent="0.3">
      <c r="A562" s="20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 spans="1:30" ht="15.75" customHeight="1" x14ac:dyDescent="0.3">
      <c r="A563" s="20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 spans="1:30" ht="15.75" customHeight="1" x14ac:dyDescent="0.3">
      <c r="A564" s="20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 spans="1:30" ht="15.75" customHeight="1" x14ac:dyDescent="0.3">
      <c r="A565" s="20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 spans="1:30" ht="15.75" customHeight="1" x14ac:dyDescent="0.3">
      <c r="A566" s="20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 spans="1:30" ht="15.75" customHeight="1" x14ac:dyDescent="0.3">
      <c r="A567" s="20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 spans="1:30" ht="15.75" customHeight="1" x14ac:dyDescent="0.3">
      <c r="A568" s="20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 spans="1:30" ht="15.75" customHeight="1" x14ac:dyDescent="0.3">
      <c r="A569" s="20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 spans="1:30" ht="15.75" customHeight="1" x14ac:dyDescent="0.3">
      <c r="A570" s="20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 spans="1:30" ht="15.75" customHeight="1" x14ac:dyDescent="0.3">
      <c r="A571" s="20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 spans="1:30" ht="15.75" customHeight="1" x14ac:dyDescent="0.3">
      <c r="A572" s="20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 spans="1:30" ht="15.75" customHeight="1" x14ac:dyDescent="0.3">
      <c r="A573" s="20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 spans="1:30" ht="15.75" customHeight="1" x14ac:dyDescent="0.3">
      <c r="A574" s="20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 spans="1:30" ht="15.75" customHeight="1" x14ac:dyDescent="0.3">
      <c r="A575" s="20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 spans="1:30" ht="15.75" customHeight="1" x14ac:dyDescent="0.3">
      <c r="A576" s="20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 spans="1:30" ht="15.75" customHeight="1" x14ac:dyDescent="0.3">
      <c r="A577" s="20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 spans="1:30" ht="15.75" customHeight="1" x14ac:dyDescent="0.3">
      <c r="A578" s="20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 spans="1:30" ht="15.75" customHeight="1" x14ac:dyDescent="0.3">
      <c r="A579" s="20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 spans="1:30" ht="15.75" customHeight="1" x14ac:dyDescent="0.3">
      <c r="A580" s="20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 spans="1:30" ht="15.75" customHeight="1" x14ac:dyDescent="0.3">
      <c r="A581" s="20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 spans="1:30" ht="15.75" customHeight="1" x14ac:dyDescent="0.3">
      <c r="A582" s="20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 spans="1:30" ht="15.75" customHeight="1" x14ac:dyDescent="0.3">
      <c r="A583" s="20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 spans="1:30" ht="15.75" customHeight="1" x14ac:dyDescent="0.3">
      <c r="A584" s="20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 spans="1:30" ht="15.75" customHeight="1" x14ac:dyDescent="0.3">
      <c r="A585" s="20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 spans="1:30" ht="15.75" customHeight="1" x14ac:dyDescent="0.3">
      <c r="A586" s="20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 spans="1:30" ht="15.75" customHeight="1" x14ac:dyDescent="0.3">
      <c r="A587" s="20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 spans="1:30" ht="15.75" customHeight="1" x14ac:dyDescent="0.3">
      <c r="A588" s="20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 spans="1:30" ht="15.75" customHeight="1" x14ac:dyDescent="0.3">
      <c r="A589" s="20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 spans="1:30" ht="15.75" customHeight="1" x14ac:dyDescent="0.3">
      <c r="A590" s="20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 spans="1:30" ht="15.75" customHeight="1" x14ac:dyDescent="0.3">
      <c r="A591" s="20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 spans="1:30" ht="15.75" customHeight="1" x14ac:dyDescent="0.3">
      <c r="A592" s="20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 spans="1:30" ht="15.75" customHeight="1" x14ac:dyDescent="0.3">
      <c r="A593" s="20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 spans="1:30" ht="15.75" customHeight="1" x14ac:dyDescent="0.3">
      <c r="A594" s="20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 spans="1:30" ht="15.75" customHeight="1" x14ac:dyDescent="0.3">
      <c r="A595" s="20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 spans="1:30" ht="15.75" customHeight="1" x14ac:dyDescent="0.3">
      <c r="A596" s="20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 spans="1:30" ht="15.75" customHeight="1" x14ac:dyDescent="0.3">
      <c r="A597" s="20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 spans="1:30" ht="15.75" customHeight="1" x14ac:dyDescent="0.3">
      <c r="A598" s="20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 spans="1:30" ht="15.75" customHeight="1" x14ac:dyDescent="0.3">
      <c r="A599" s="20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 spans="1:30" ht="15.75" customHeight="1" x14ac:dyDescent="0.3">
      <c r="A600" s="20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 spans="1:30" ht="15.75" customHeight="1" x14ac:dyDescent="0.3">
      <c r="A601" s="20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 spans="1:30" ht="15.75" customHeight="1" x14ac:dyDescent="0.3">
      <c r="A602" s="20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 spans="1:30" ht="15.75" customHeight="1" x14ac:dyDescent="0.3">
      <c r="A603" s="20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 spans="1:30" ht="15.75" customHeight="1" x14ac:dyDescent="0.3">
      <c r="A604" s="20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 spans="1:30" ht="15.75" customHeight="1" x14ac:dyDescent="0.3">
      <c r="A605" s="20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 spans="1:30" ht="15.75" customHeight="1" x14ac:dyDescent="0.3">
      <c r="A606" s="20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 spans="1:30" ht="15.75" customHeight="1" x14ac:dyDescent="0.3">
      <c r="A607" s="20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 spans="1:30" ht="15.75" customHeight="1" x14ac:dyDescent="0.3">
      <c r="A608" s="20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 spans="1:30" ht="15.75" customHeight="1" x14ac:dyDescent="0.3">
      <c r="A609" s="20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 spans="1:30" ht="15.75" customHeight="1" x14ac:dyDescent="0.3">
      <c r="A610" s="20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 spans="1:30" ht="15.75" customHeight="1" x14ac:dyDescent="0.3">
      <c r="A611" s="20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 spans="1:30" ht="15.75" customHeight="1" x14ac:dyDescent="0.3">
      <c r="A612" s="20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 spans="1:30" ht="15.75" customHeight="1" x14ac:dyDescent="0.3">
      <c r="A613" s="20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 spans="1:30" ht="15.75" customHeight="1" x14ac:dyDescent="0.3">
      <c r="A614" s="20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 spans="1:30" ht="15.75" customHeight="1" x14ac:dyDescent="0.3">
      <c r="A615" s="20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 spans="1:30" ht="15.75" customHeight="1" x14ac:dyDescent="0.3">
      <c r="A616" s="20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 spans="1:30" ht="15.75" customHeight="1" x14ac:dyDescent="0.3">
      <c r="A617" s="20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 spans="1:30" ht="15.75" customHeight="1" x14ac:dyDescent="0.3">
      <c r="A618" s="20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 spans="1:30" ht="15.75" customHeight="1" x14ac:dyDescent="0.3">
      <c r="A619" s="20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 spans="1:30" ht="15.75" customHeight="1" x14ac:dyDescent="0.3">
      <c r="A620" s="20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 spans="1:30" ht="15.75" customHeight="1" x14ac:dyDescent="0.3">
      <c r="A621" s="20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 spans="1:30" ht="15.75" customHeight="1" x14ac:dyDescent="0.3">
      <c r="A622" s="20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 spans="1:30" ht="15.75" customHeight="1" x14ac:dyDescent="0.3">
      <c r="A623" s="20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 spans="1:30" ht="15.75" customHeight="1" x14ac:dyDescent="0.3">
      <c r="A624" s="20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 spans="1:30" ht="15.75" customHeight="1" x14ac:dyDescent="0.3">
      <c r="A625" s="20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 spans="1:30" ht="15.75" customHeight="1" x14ac:dyDescent="0.3">
      <c r="A626" s="20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 spans="1:30" ht="15.75" customHeight="1" x14ac:dyDescent="0.3">
      <c r="A627" s="20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 spans="1:30" ht="15.75" customHeight="1" x14ac:dyDescent="0.3">
      <c r="A628" s="20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 spans="1:30" ht="15.75" customHeight="1" x14ac:dyDescent="0.3">
      <c r="A629" s="20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 spans="1:30" ht="15.75" customHeight="1" x14ac:dyDescent="0.3">
      <c r="A630" s="20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 spans="1:30" ht="15.75" customHeight="1" x14ac:dyDescent="0.3">
      <c r="A631" s="20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 spans="1:30" ht="15.75" customHeight="1" x14ac:dyDescent="0.3">
      <c r="A632" s="20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 spans="1:30" ht="15.75" customHeight="1" x14ac:dyDescent="0.3">
      <c r="A633" s="20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 spans="1:30" ht="15.75" customHeight="1" x14ac:dyDescent="0.3">
      <c r="A634" s="20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 spans="1:30" ht="15.75" customHeight="1" x14ac:dyDescent="0.3">
      <c r="A635" s="20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 spans="1:30" ht="15.75" customHeight="1" x14ac:dyDescent="0.3">
      <c r="A636" s="20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 spans="1:30" ht="15.75" customHeight="1" x14ac:dyDescent="0.3">
      <c r="A637" s="20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 spans="1:30" ht="15.75" customHeight="1" x14ac:dyDescent="0.3">
      <c r="A638" s="20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 spans="1:30" ht="15.75" customHeight="1" x14ac:dyDescent="0.3">
      <c r="A639" s="20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 spans="1:30" ht="15.75" customHeight="1" x14ac:dyDescent="0.3">
      <c r="A640" s="20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 spans="1:30" ht="15.75" customHeight="1" x14ac:dyDescent="0.3">
      <c r="A641" s="20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 spans="1:30" ht="15.75" customHeight="1" x14ac:dyDescent="0.3">
      <c r="A642" s="20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 spans="1:30" ht="15.75" customHeight="1" x14ac:dyDescent="0.3">
      <c r="A643" s="20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 spans="1:30" ht="15.75" customHeight="1" x14ac:dyDescent="0.3">
      <c r="A644" s="20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 spans="1:30" ht="15.75" customHeight="1" x14ac:dyDescent="0.3">
      <c r="A645" s="20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 spans="1:30" ht="15.75" customHeight="1" x14ac:dyDescent="0.3">
      <c r="A646" s="20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 spans="1:30" ht="15.75" customHeight="1" x14ac:dyDescent="0.3">
      <c r="A647" s="20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 spans="1:30" ht="15.75" customHeight="1" x14ac:dyDescent="0.3">
      <c r="A648" s="20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 spans="1:30" ht="15.75" customHeight="1" x14ac:dyDescent="0.3">
      <c r="A649" s="20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 spans="1:30" ht="15.75" customHeight="1" x14ac:dyDescent="0.3">
      <c r="A650" s="20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 spans="1:30" ht="15.75" customHeight="1" x14ac:dyDescent="0.3">
      <c r="A651" s="20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 spans="1:30" ht="15.75" customHeight="1" x14ac:dyDescent="0.3">
      <c r="A652" s="20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 spans="1:30" ht="15.75" customHeight="1" x14ac:dyDescent="0.3">
      <c r="A653" s="20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 spans="1:30" ht="15.75" customHeight="1" x14ac:dyDescent="0.3">
      <c r="A654" s="20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 spans="1:30" ht="15.75" customHeight="1" x14ac:dyDescent="0.3">
      <c r="A655" s="20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 spans="1:30" ht="15.75" customHeight="1" x14ac:dyDescent="0.3">
      <c r="A656" s="20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 spans="1:30" ht="15.75" customHeight="1" x14ac:dyDescent="0.3">
      <c r="A657" s="20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 spans="1:30" ht="15.75" customHeight="1" x14ac:dyDescent="0.3">
      <c r="A658" s="20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 spans="1:30" ht="15.75" customHeight="1" x14ac:dyDescent="0.3">
      <c r="A659" s="20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 spans="1:30" ht="15.75" customHeight="1" x14ac:dyDescent="0.3">
      <c r="A660" s="20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 spans="1:30" ht="15.75" customHeight="1" x14ac:dyDescent="0.3">
      <c r="A661" s="20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 spans="1:30" ht="15.75" customHeight="1" x14ac:dyDescent="0.3">
      <c r="A662" s="20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 spans="1:30" ht="15.75" customHeight="1" x14ac:dyDescent="0.3">
      <c r="A663" s="20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 spans="1:30" ht="15.75" customHeight="1" x14ac:dyDescent="0.3">
      <c r="A664" s="20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 spans="1:30" ht="15.75" customHeight="1" x14ac:dyDescent="0.3">
      <c r="A665" s="20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 spans="1:30" ht="15.75" customHeight="1" x14ac:dyDescent="0.3">
      <c r="A666" s="20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 spans="1:30" ht="15.75" customHeight="1" x14ac:dyDescent="0.3">
      <c r="A667" s="20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 spans="1:30" ht="15.75" customHeight="1" x14ac:dyDescent="0.3">
      <c r="A668" s="20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 spans="1:30" ht="15.75" customHeight="1" x14ac:dyDescent="0.3">
      <c r="A669" s="20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 spans="1:30" ht="15.75" customHeight="1" x14ac:dyDescent="0.3">
      <c r="A670" s="20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 spans="1:30" ht="15.75" customHeight="1" x14ac:dyDescent="0.3">
      <c r="A671" s="20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 spans="1:30" ht="15.75" customHeight="1" x14ac:dyDescent="0.3">
      <c r="A672" s="20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 spans="1:30" ht="15.75" customHeight="1" x14ac:dyDescent="0.3">
      <c r="A673" s="20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 spans="1:30" ht="15.75" customHeight="1" x14ac:dyDescent="0.3">
      <c r="A674" s="20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 spans="1:30" ht="15.75" customHeight="1" x14ac:dyDescent="0.3">
      <c r="A675" s="20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 spans="1:30" ht="15.75" customHeight="1" x14ac:dyDescent="0.3">
      <c r="A676" s="20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 spans="1:30" ht="15.75" customHeight="1" x14ac:dyDescent="0.3">
      <c r="A677" s="20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 spans="1:30" ht="15.75" customHeight="1" x14ac:dyDescent="0.3">
      <c r="A678" s="20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 spans="1:30" ht="15.75" customHeight="1" x14ac:dyDescent="0.3">
      <c r="A679" s="20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 spans="1:30" ht="15.75" customHeight="1" x14ac:dyDescent="0.3">
      <c r="A680" s="20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 spans="1:30" ht="15.75" customHeight="1" x14ac:dyDescent="0.3">
      <c r="A681" s="20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 spans="1:30" ht="15.75" customHeight="1" x14ac:dyDescent="0.3">
      <c r="A682" s="20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 spans="1:30" ht="15.75" customHeight="1" x14ac:dyDescent="0.3">
      <c r="A683" s="20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 spans="1:30" ht="15.75" customHeight="1" x14ac:dyDescent="0.3">
      <c r="A684" s="20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 spans="1:30" ht="15.75" customHeight="1" x14ac:dyDescent="0.3">
      <c r="A685" s="20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 spans="1:30" ht="15.75" customHeight="1" x14ac:dyDescent="0.3">
      <c r="A686" s="20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 spans="1:30" ht="15.75" customHeight="1" x14ac:dyDescent="0.3">
      <c r="A687" s="20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 spans="1:30" ht="15.75" customHeight="1" x14ac:dyDescent="0.3">
      <c r="A688" s="20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 spans="1:30" ht="15.75" customHeight="1" x14ac:dyDescent="0.3">
      <c r="A689" s="20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 spans="1:30" ht="15.75" customHeight="1" x14ac:dyDescent="0.3">
      <c r="A690" s="20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 spans="1:30" ht="15.75" customHeight="1" x14ac:dyDescent="0.3">
      <c r="A691" s="20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 spans="1:30" ht="15.75" customHeight="1" x14ac:dyDescent="0.3">
      <c r="A692" s="20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 spans="1:30" ht="15.75" customHeight="1" x14ac:dyDescent="0.3">
      <c r="A693" s="20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 spans="1:30" ht="15.75" customHeight="1" x14ac:dyDescent="0.3">
      <c r="A694" s="20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 spans="1:30" ht="15.75" customHeight="1" x14ac:dyDescent="0.3">
      <c r="A695" s="20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 spans="1:30" ht="15.75" customHeight="1" x14ac:dyDescent="0.3">
      <c r="A696" s="20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 spans="1:30" ht="15.75" customHeight="1" x14ac:dyDescent="0.3">
      <c r="A697" s="20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 spans="1:30" ht="15.75" customHeight="1" x14ac:dyDescent="0.3">
      <c r="A698" s="20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 spans="1:30" ht="15.75" customHeight="1" x14ac:dyDescent="0.3">
      <c r="A699" s="20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 spans="1:30" ht="15.75" customHeight="1" x14ac:dyDescent="0.3">
      <c r="A700" s="20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 spans="1:30" ht="15.75" customHeight="1" x14ac:dyDescent="0.3">
      <c r="A701" s="20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 spans="1:30" ht="15.75" customHeight="1" x14ac:dyDescent="0.3">
      <c r="A702" s="20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 spans="1:30" ht="15.75" customHeight="1" x14ac:dyDescent="0.3">
      <c r="A703" s="20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 spans="1:30" ht="15.75" customHeight="1" x14ac:dyDescent="0.3">
      <c r="A704" s="20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 spans="1:30" ht="15.75" customHeight="1" x14ac:dyDescent="0.3">
      <c r="A705" s="20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 spans="1:30" ht="15.75" customHeight="1" x14ac:dyDescent="0.3">
      <c r="A706" s="20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 spans="1:30" ht="15.75" customHeight="1" x14ac:dyDescent="0.3">
      <c r="A707" s="20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 spans="1:30" ht="15.75" customHeight="1" x14ac:dyDescent="0.3">
      <c r="A708" s="20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 spans="1:30" ht="15.75" customHeight="1" x14ac:dyDescent="0.3">
      <c r="A709" s="20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 spans="1:30" ht="15.75" customHeight="1" x14ac:dyDescent="0.3">
      <c r="A710" s="20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 spans="1:30" ht="15.75" customHeight="1" x14ac:dyDescent="0.3">
      <c r="A711" s="20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 spans="1:30" ht="15.75" customHeight="1" x14ac:dyDescent="0.3">
      <c r="A712" s="20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 spans="1:30" ht="15.75" customHeight="1" x14ac:dyDescent="0.3">
      <c r="A713" s="20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 spans="1:30" ht="15.75" customHeight="1" x14ac:dyDescent="0.3">
      <c r="A714" s="20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 spans="1:30" ht="15.75" customHeight="1" x14ac:dyDescent="0.3">
      <c r="A715" s="20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 spans="1:30" ht="15.75" customHeight="1" x14ac:dyDescent="0.3">
      <c r="A716" s="20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 spans="1:30" ht="15.75" customHeight="1" x14ac:dyDescent="0.3">
      <c r="A717" s="20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 spans="1:30" ht="15.75" customHeight="1" x14ac:dyDescent="0.3">
      <c r="A718" s="20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 spans="1:30" ht="15.75" customHeight="1" x14ac:dyDescent="0.3">
      <c r="A719" s="20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 spans="1:30" ht="15.75" customHeight="1" x14ac:dyDescent="0.3">
      <c r="A720" s="20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 spans="1:30" ht="15.75" customHeight="1" x14ac:dyDescent="0.3">
      <c r="A721" s="20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 spans="1:30" ht="15.75" customHeight="1" x14ac:dyDescent="0.3">
      <c r="A722" s="20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 spans="1:30" ht="15.75" customHeight="1" x14ac:dyDescent="0.3">
      <c r="A723" s="20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 spans="1:30" ht="15.75" customHeight="1" x14ac:dyDescent="0.3">
      <c r="A724" s="20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 spans="1:30" ht="15.75" customHeight="1" x14ac:dyDescent="0.3">
      <c r="A725" s="20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 spans="1:30" ht="15.75" customHeight="1" x14ac:dyDescent="0.3">
      <c r="A726" s="20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 spans="1:30" ht="15.75" customHeight="1" x14ac:dyDescent="0.3">
      <c r="A727" s="20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 spans="1:30" ht="15.75" customHeight="1" x14ac:dyDescent="0.3">
      <c r="A728" s="20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 spans="1:30" ht="15.75" customHeight="1" x14ac:dyDescent="0.3">
      <c r="A729" s="20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 spans="1:30" ht="15.75" customHeight="1" x14ac:dyDescent="0.3">
      <c r="A730" s="20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 spans="1:30" ht="15.75" customHeight="1" x14ac:dyDescent="0.3">
      <c r="A731" s="20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 spans="1:30" ht="15.75" customHeight="1" x14ac:dyDescent="0.3">
      <c r="A732" s="20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 spans="1:30" ht="15.75" customHeight="1" x14ac:dyDescent="0.3">
      <c r="A733" s="20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 spans="1:30" ht="15.75" customHeight="1" x14ac:dyDescent="0.3">
      <c r="A734" s="20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 spans="1:30" ht="15.75" customHeight="1" x14ac:dyDescent="0.3">
      <c r="A735" s="20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 spans="1:30" ht="15.75" customHeight="1" x14ac:dyDescent="0.3">
      <c r="A736" s="20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 spans="1:30" ht="15.75" customHeight="1" x14ac:dyDescent="0.3">
      <c r="A737" s="20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 spans="1:30" ht="15.75" customHeight="1" x14ac:dyDescent="0.3">
      <c r="A738" s="20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 spans="1:30" ht="15.75" customHeight="1" x14ac:dyDescent="0.3">
      <c r="A739" s="20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 spans="1:30" ht="15.75" customHeight="1" x14ac:dyDescent="0.3">
      <c r="A740" s="20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 spans="1:30" ht="15.75" customHeight="1" x14ac:dyDescent="0.3">
      <c r="A741" s="20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 spans="1:30" ht="15.75" customHeight="1" x14ac:dyDescent="0.3">
      <c r="A742" s="20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 spans="1:30" ht="15.75" customHeight="1" x14ac:dyDescent="0.3">
      <c r="A743" s="20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 spans="1:30" ht="15.75" customHeight="1" x14ac:dyDescent="0.3">
      <c r="A744" s="20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 spans="1:30" ht="15.75" customHeight="1" x14ac:dyDescent="0.3">
      <c r="A745" s="20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 spans="1:30" ht="15.75" customHeight="1" x14ac:dyDescent="0.3">
      <c r="A746" s="20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 spans="1:30" ht="15.75" customHeight="1" x14ac:dyDescent="0.3">
      <c r="A747" s="20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 spans="1:30" ht="15.75" customHeight="1" x14ac:dyDescent="0.3">
      <c r="A748" s="20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 spans="1:30" ht="15.75" customHeight="1" x14ac:dyDescent="0.3">
      <c r="A749" s="20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 spans="1:30" ht="15.75" customHeight="1" x14ac:dyDescent="0.3">
      <c r="A750" s="20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 spans="1:30" ht="15.75" customHeight="1" x14ac:dyDescent="0.3">
      <c r="A751" s="20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 spans="1:30" ht="15.75" customHeight="1" x14ac:dyDescent="0.3">
      <c r="A752" s="20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 spans="1:30" ht="15.75" customHeight="1" x14ac:dyDescent="0.3">
      <c r="A753" s="20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 spans="1:30" ht="15.75" customHeight="1" x14ac:dyDescent="0.3">
      <c r="A754" s="20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 spans="1:30" ht="15.75" customHeight="1" x14ac:dyDescent="0.3">
      <c r="A755" s="20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 spans="1:30" ht="15.75" customHeight="1" x14ac:dyDescent="0.3">
      <c r="A756" s="20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 spans="1:30" ht="15.75" customHeight="1" x14ac:dyDescent="0.3">
      <c r="A757" s="20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 spans="1:30" ht="15.75" customHeight="1" x14ac:dyDescent="0.3">
      <c r="A758" s="20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 spans="1:30" ht="15.75" customHeight="1" x14ac:dyDescent="0.3">
      <c r="A759" s="20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 spans="1:30" ht="15.75" customHeight="1" x14ac:dyDescent="0.3">
      <c r="A760" s="20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 spans="1:30" ht="15.75" customHeight="1" x14ac:dyDescent="0.3">
      <c r="A761" s="20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 spans="1:30" ht="15.75" customHeight="1" x14ac:dyDescent="0.3">
      <c r="A762" s="20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 spans="1:30" ht="15.75" customHeight="1" x14ac:dyDescent="0.3">
      <c r="A763" s="20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 spans="1:30" ht="15.75" customHeight="1" x14ac:dyDescent="0.3">
      <c r="A764" s="20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 spans="1:30" ht="15.75" customHeight="1" x14ac:dyDescent="0.3">
      <c r="A765" s="20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 spans="1:30" ht="15.75" customHeight="1" x14ac:dyDescent="0.3">
      <c r="A766" s="20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 spans="1:30" ht="15.75" customHeight="1" x14ac:dyDescent="0.3">
      <c r="A767" s="20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 spans="1:30" ht="15.75" customHeight="1" x14ac:dyDescent="0.3">
      <c r="A768" s="20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 spans="1:30" ht="15.75" customHeight="1" x14ac:dyDescent="0.3">
      <c r="A769" s="20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 spans="1:30" ht="15.75" customHeight="1" x14ac:dyDescent="0.3">
      <c r="A770" s="20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 spans="1:30" ht="15.75" customHeight="1" x14ac:dyDescent="0.3">
      <c r="A771" s="20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 spans="1:30" ht="15.75" customHeight="1" x14ac:dyDescent="0.3">
      <c r="A772" s="20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 spans="1:30" ht="15.75" customHeight="1" x14ac:dyDescent="0.3">
      <c r="A773" s="20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 spans="1:30" ht="15.75" customHeight="1" x14ac:dyDescent="0.3">
      <c r="A774" s="20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 spans="1:30" ht="15.75" customHeight="1" x14ac:dyDescent="0.3">
      <c r="A775" s="20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 spans="1:30" ht="15.75" customHeight="1" x14ac:dyDescent="0.3">
      <c r="A776" s="20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 spans="1:30" ht="15.75" customHeight="1" x14ac:dyDescent="0.3">
      <c r="A777" s="20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 spans="1:30" ht="15.75" customHeight="1" x14ac:dyDescent="0.3">
      <c r="A778" s="20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 spans="1:30" ht="15.75" customHeight="1" x14ac:dyDescent="0.3">
      <c r="A779" s="20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 spans="1:30" ht="15.75" customHeight="1" x14ac:dyDescent="0.3">
      <c r="A780" s="20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 spans="1:30" ht="15.75" customHeight="1" x14ac:dyDescent="0.3">
      <c r="A781" s="20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 spans="1:30" ht="15.75" customHeight="1" x14ac:dyDescent="0.3">
      <c r="A782" s="20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 spans="1:30" ht="15.75" customHeight="1" x14ac:dyDescent="0.3">
      <c r="A783" s="20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 spans="1:30" ht="15.75" customHeight="1" x14ac:dyDescent="0.3">
      <c r="A784" s="20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 spans="1:30" ht="15.75" customHeight="1" x14ac:dyDescent="0.3">
      <c r="A785" s="20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 spans="1:30" ht="15.75" customHeight="1" x14ac:dyDescent="0.3">
      <c r="A786" s="20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 spans="1:30" ht="15.75" customHeight="1" x14ac:dyDescent="0.3">
      <c r="A787" s="20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 spans="1:30" ht="15.75" customHeight="1" x14ac:dyDescent="0.3">
      <c r="A788" s="20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 spans="1:30" ht="15.75" customHeight="1" x14ac:dyDescent="0.3">
      <c r="A789" s="20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 spans="1:30" ht="15.75" customHeight="1" x14ac:dyDescent="0.3">
      <c r="A790" s="20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 spans="1:30" ht="15.75" customHeight="1" x14ac:dyDescent="0.3">
      <c r="A791" s="20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 spans="1:30" ht="15.75" customHeight="1" x14ac:dyDescent="0.3">
      <c r="A792" s="20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 spans="1:30" ht="15.75" customHeight="1" x14ac:dyDescent="0.3">
      <c r="A793" s="20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 spans="1:30" ht="15.75" customHeight="1" x14ac:dyDescent="0.3">
      <c r="A794" s="20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 spans="1:30" ht="15.75" customHeight="1" x14ac:dyDescent="0.3">
      <c r="A795" s="20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 spans="1:30" ht="15.75" customHeight="1" x14ac:dyDescent="0.3">
      <c r="A796" s="20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 spans="1:30" ht="15.75" customHeight="1" x14ac:dyDescent="0.3">
      <c r="A797" s="20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 spans="1:30" ht="15.75" customHeight="1" x14ac:dyDescent="0.3">
      <c r="A798" s="20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 spans="1:30" ht="15.75" customHeight="1" x14ac:dyDescent="0.3">
      <c r="A799" s="20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 spans="1:30" ht="15.75" customHeight="1" x14ac:dyDescent="0.3">
      <c r="A800" s="20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 spans="1:30" ht="15.75" customHeight="1" x14ac:dyDescent="0.3">
      <c r="A801" s="20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 spans="1:30" ht="15.75" customHeight="1" x14ac:dyDescent="0.3">
      <c r="A802" s="20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 spans="1:30" ht="15.75" customHeight="1" x14ac:dyDescent="0.3">
      <c r="A803" s="20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 spans="1:30" ht="15.75" customHeight="1" x14ac:dyDescent="0.3">
      <c r="A804" s="20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 spans="1:30" ht="15.75" customHeight="1" x14ac:dyDescent="0.3">
      <c r="A805" s="20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 spans="1:30" ht="15.75" customHeight="1" x14ac:dyDescent="0.3">
      <c r="A806" s="20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 spans="1:30" ht="15.75" customHeight="1" x14ac:dyDescent="0.3">
      <c r="A807" s="20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 spans="1:30" ht="15.75" customHeight="1" x14ac:dyDescent="0.3">
      <c r="A808" s="20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 spans="1:30" ht="15.75" customHeight="1" x14ac:dyDescent="0.3">
      <c r="A809" s="20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 spans="1:30" ht="15.75" customHeight="1" x14ac:dyDescent="0.3">
      <c r="A810" s="20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 spans="1:30" ht="15.75" customHeight="1" x14ac:dyDescent="0.3">
      <c r="A811" s="20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 spans="1:30" ht="15.75" customHeight="1" x14ac:dyDescent="0.3">
      <c r="A812" s="20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 spans="1:30" ht="15.75" customHeight="1" x14ac:dyDescent="0.3">
      <c r="A813" s="20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 spans="1:30" ht="15.75" customHeight="1" x14ac:dyDescent="0.3">
      <c r="A814" s="20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 spans="1:30" ht="15.75" customHeight="1" x14ac:dyDescent="0.3">
      <c r="A815" s="20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 spans="1:30" ht="15.75" customHeight="1" x14ac:dyDescent="0.3">
      <c r="A816" s="20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 spans="1:30" ht="15.75" customHeight="1" x14ac:dyDescent="0.3">
      <c r="A817" s="20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 spans="1:30" ht="15.75" customHeight="1" x14ac:dyDescent="0.3">
      <c r="A818" s="20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 spans="1:30" ht="15.75" customHeight="1" x14ac:dyDescent="0.3">
      <c r="A819" s="20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 spans="1:30" ht="15.75" customHeight="1" x14ac:dyDescent="0.3">
      <c r="A820" s="20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 spans="1:30" ht="15.75" customHeight="1" x14ac:dyDescent="0.3">
      <c r="A821" s="20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 spans="1:30" ht="15.75" customHeight="1" x14ac:dyDescent="0.3">
      <c r="A822" s="20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 spans="1:30" ht="15.75" customHeight="1" x14ac:dyDescent="0.3">
      <c r="A823" s="20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 spans="1:30" ht="15.75" customHeight="1" x14ac:dyDescent="0.3">
      <c r="A824" s="20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 spans="1:30" ht="15.75" customHeight="1" x14ac:dyDescent="0.3">
      <c r="A825" s="20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 spans="1:30" ht="15.75" customHeight="1" x14ac:dyDescent="0.3">
      <c r="A826" s="20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 spans="1:30" ht="15.75" customHeight="1" x14ac:dyDescent="0.3">
      <c r="A827" s="20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 spans="1:30" ht="15.75" customHeight="1" x14ac:dyDescent="0.3">
      <c r="A828" s="20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 spans="1:30" ht="15.75" customHeight="1" x14ac:dyDescent="0.3">
      <c r="A829" s="20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 spans="1:30" ht="15.75" customHeight="1" x14ac:dyDescent="0.3">
      <c r="A830" s="20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 spans="1:30" ht="15.75" customHeight="1" x14ac:dyDescent="0.3">
      <c r="A831" s="20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 spans="1:30" ht="15.75" customHeight="1" x14ac:dyDescent="0.3">
      <c r="A832" s="20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 spans="1:30" ht="15.75" customHeight="1" x14ac:dyDescent="0.3">
      <c r="A833" s="20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 spans="1:30" ht="15.75" customHeight="1" x14ac:dyDescent="0.3">
      <c r="A834" s="20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 spans="1:30" ht="15.75" customHeight="1" x14ac:dyDescent="0.3">
      <c r="A835" s="20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 spans="1:30" ht="15.75" customHeight="1" x14ac:dyDescent="0.3">
      <c r="A836" s="20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 spans="1:30" ht="15.75" customHeight="1" x14ac:dyDescent="0.3">
      <c r="A837" s="20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 spans="1:30" ht="15.75" customHeight="1" x14ac:dyDescent="0.3">
      <c r="A838" s="20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 spans="1:30" ht="15.75" customHeight="1" x14ac:dyDescent="0.3">
      <c r="A839" s="20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 spans="1:30" ht="15.75" customHeight="1" x14ac:dyDescent="0.3">
      <c r="A840" s="20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 spans="1:30" ht="15.75" customHeight="1" x14ac:dyDescent="0.3">
      <c r="A841" s="20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 spans="1:30" ht="15.75" customHeight="1" x14ac:dyDescent="0.3">
      <c r="A842" s="20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 spans="1:30" ht="15.75" customHeight="1" x14ac:dyDescent="0.3">
      <c r="A843" s="20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 spans="1:30" ht="15.75" customHeight="1" x14ac:dyDescent="0.3">
      <c r="A844" s="20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 spans="1:30" ht="15.75" customHeight="1" x14ac:dyDescent="0.3">
      <c r="A845" s="20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 spans="1:30" ht="15.75" customHeight="1" x14ac:dyDescent="0.3">
      <c r="A846" s="20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 spans="1:30" ht="15.75" customHeight="1" x14ac:dyDescent="0.3">
      <c r="A847" s="20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 spans="1:30" ht="15.75" customHeight="1" x14ac:dyDescent="0.3">
      <c r="A848" s="20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 spans="1:30" ht="15.75" customHeight="1" x14ac:dyDescent="0.3">
      <c r="A849" s="20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 spans="1:30" ht="15.75" customHeight="1" x14ac:dyDescent="0.3">
      <c r="A850" s="20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 spans="1:30" ht="15.75" customHeight="1" x14ac:dyDescent="0.3">
      <c r="A851" s="20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 spans="1:30" ht="15.75" customHeight="1" x14ac:dyDescent="0.3">
      <c r="A852" s="20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 spans="1:30" ht="15.75" customHeight="1" x14ac:dyDescent="0.3">
      <c r="A853" s="20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 spans="1:30" ht="15.75" customHeight="1" x14ac:dyDescent="0.3">
      <c r="A854" s="20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 spans="1:30" ht="15.75" customHeight="1" x14ac:dyDescent="0.3">
      <c r="A855" s="20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 spans="1:30" ht="15.75" customHeight="1" x14ac:dyDescent="0.3">
      <c r="A856" s="20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 spans="1:30" ht="15.75" customHeight="1" x14ac:dyDescent="0.3">
      <c r="A857" s="20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 spans="1:30" ht="15.75" customHeight="1" x14ac:dyDescent="0.3">
      <c r="A858" s="20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 spans="1:30" ht="15.75" customHeight="1" x14ac:dyDescent="0.3">
      <c r="A859" s="20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 spans="1:30" ht="15.75" customHeight="1" x14ac:dyDescent="0.3">
      <c r="A860" s="20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 spans="1:30" ht="15.75" customHeight="1" x14ac:dyDescent="0.3">
      <c r="A861" s="20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 spans="1:30" ht="15.75" customHeight="1" x14ac:dyDescent="0.3">
      <c r="A862" s="20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 spans="1:30" ht="15.75" customHeight="1" x14ac:dyDescent="0.3">
      <c r="A863" s="20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 spans="1:30" ht="15.75" customHeight="1" x14ac:dyDescent="0.3">
      <c r="A864" s="20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 spans="1:30" ht="15.75" customHeight="1" x14ac:dyDescent="0.3">
      <c r="A865" s="20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 spans="1:30" ht="15.75" customHeight="1" x14ac:dyDescent="0.3">
      <c r="A866" s="20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 spans="1:30" ht="15.75" customHeight="1" x14ac:dyDescent="0.3">
      <c r="A867" s="20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 spans="1:30" ht="15.75" customHeight="1" x14ac:dyDescent="0.3">
      <c r="A868" s="20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 spans="1:30" ht="15.75" customHeight="1" x14ac:dyDescent="0.3">
      <c r="A869" s="20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 spans="1:30" ht="15.75" customHeight="1" x14ac:dyDescent="0.3">
      <c r="A870" s="20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 spans="1:30" ht="15.75" customHeight="1" x14ac:dyDescent="0.3">
      <c r="A871" s="20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 spans="1:30" ht="15.75" customHeight="1" x14ac:dyDescent="0.3">
      <c r="A872" s="20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 spans="1:30" ht="15.75" customHeight="1" x14ac:dyDescent="0.3">
      <c r="A873" s="20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 spans="1:30" ht="15.75" customHeight="1" x14ac:dyDescent="0.3">
      <c r="A874" s="20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 spans="1:30" ht="15.75" customHeight="1" x14ac:dyDescent="0.3">
      <c r="A875" s="20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 spans="1:30" ht="15.75" customHeight="1" x14ac:dyDescent="0.3">
      <c r="A876" s="20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 spans="1:30" ht="15.75" customHeight="1" x14ac:dyDescent="0.3">
      <c r="A877" s="20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 spans="1:30" ht="15.75" customHeight="1" x14ac:dyDescent="0.3">
      <c r="A878" s="20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 spans="1:30" ht="15.75" customHeight="1" x14ac:dyDescent="0.3">
      <c r="A879" s="20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 spans="1:30" ht="15.75" customHeight="1" x14ac:dyDescent="0.3">
      <c r="A880" s="20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 spans="1:30" ht="15.75" customHeight="1" x14ac:dyDescent="0.3">
      <c r="A881" s="20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 spans="1:30" ht="15.75" customHeight="1" x14ac:dyDescent="0.3">
      <c r="A882" s="20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 spans="1:30" ht="15.75" customHeight="1" x14ac:dyDescent="0.3">
      <c r="A883" s="20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 spans="1:30" ht="15.75" customHeight="1" x14ac:dyDescent="0.3">
      <c r="A884" s="20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 spans="1:30" ht="15.75" customHeight="1" x14ac:dyDescent="0.3">
      <c r="A885" s="20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 spans="1:30" ht="15.75" customHeight="1" x14ac:dyDescent="0.3">
      <c r="A886" s="20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 spans="1:30" ht="15.75" customHeight="1" x14ac:dyDescent="0.3">
      <c r="A887" s="20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 spans="1:30" ht="15.75" customHeight="1" x14ac:dyDescent="0.3">
      <c r="A888" s="20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 spans="1:30" ht="15.75" customHeight="1" x14ac:dyDescent="0.3">
      <c r="A889" s="20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 spans="1:30" ht="15.75" customHeight="1" x14ac:dyDescent="0.3">
      <c r="A890" s="20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 spans="1:30" ht="15.75" customHeight="1" x14ac:dyDescent="0.3">
      <c r="A891" s="20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 spans="1:30" ht="15.75" customHeight="1" x14ac:dyDescent="0.3">
      <c r="A892" s="20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 spans="1:30" ht="15.75" customHeight="1" x14ac:dyDescent="0.3">
      <c r="A893" s="20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 spans="1:30" ht="15.75" customHeight="1" x14ac:dyDescent="0.3">
      <c r="A894" s="20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 spans="1:30" ht="15.75" customHeight="1" x14ac:dyDescent="0.3">
      <c r="A895" s="20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 spans="1:30" ht="15.75" customHeight="1" x14ac:dyDescent="0.3">
      <c r="A896" s="20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 spans="1:30" ht="15.75" customHeight="1" x14ac:dyDescent="0.3">
      <c r="A897" s="20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 spans="1:30" ht="15.75" customHeight="1" x14ac:dyDescent="0.3">
      <c r="A898" s="20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 spans="1:30" ht="15.75" customHeight="1" x14ac:dyDescent="0.3">
      <c r="A899" s="20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 spans="1:30" ht="15.75" customHeight="1" x14ac:dyDescent="0.3">
      <c r="A900" s="20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 spans="1:30" ht="15.75" customHeight="1" x14ac:dyDescent="0.3">
      <c r="A901" s="20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 spans="1:30" ht="15.75" customHeight="1" x14ac:dyDescent="0.3">
      <c r="A902" s="20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 spans="1:30" ht="15.75" customHeight="1" x14ac:dyDescent="0.3">
      <c r="A903" s="20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 spans="1:30" ht="15.75" customHeight="1" x14ac:dyDescent="0.3">
      <c r="A904" s="20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 spans="1:30" ht="15.75" customHeight="1" x14ac:dyDescent="0.3">
      <c r="A905" s="20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 spans="1:30" ht="15.75" customHeight="1" x14ac:dyDescent="0.3">
      <c r="A906" s="20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 spans="1:30" ht="15.75" customHeight="1" x14ac:dyDescent="0.3">
      <c r="A907" s="20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 spans="1:30" ht="15.75" customHeight="1" x14ac:dyDescent="0.3">
      <c r="A908" s="20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 spans="1:30" ht="15.75" customHeight="1" x14ac:dyDescent="0.3">
      <c r="A909" s="20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 spans="1:30" ht="15.75" customHeight="1" x14ac:dyDescent="0.3">
      <c r="A910" s="20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 spans="1:30" ht="15.75" customHeight="1" x14ac:dyDescent="0.3">
      <c r="A911" s="20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 spans="1:30" ht="15.75" customHeight="1" x14ac:dyDescent="0.3">
      <c r="A912" s="20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 spans="1:30" ht="15.75" customHeight="1" x14ac:dyDescent="0.3">
      <c r="A913" s="20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 spans="1:30" ht="15.75" customHeight="1" x14ac:dyDescent="0.3">
      <c r="A914" s="20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 spans="1:30" ht="15.75" customHeight="1" x14ac:dyDescent="0.3">
      <c r="A915" s="20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 spans="1:30" ht="15.75" customHeight="1" x14ac:dyDescent="0.3">
      <c r="A916" s="20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 spans="1:30" ht="15.75" customHeight="1" x14ac:dyDescent="0.3">
      <c r="A917" s="20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 spans="1:30" ht="15.75" customHeight="1" x14ac:dyDescent="0.3">
      <c r="A918" s="20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 spans="1:30" ht="15.75" customHeight="1" x14ac:dyDescent="0.3">
      <c r="A919" s="20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 spans="1:30" ht="15.75" customHeight="1" x14ac:dyDescent="0.3">
      <c r="A920" s="20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 spans="1:30" ht="15.75" customHeight="1" x14ac:dyDescent="0.3">
      <c r="A921" s="20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 spans="1:30" ht="15.75" customHeight="1" x14ac:dyDescent="0.3">
      <c r="A922" s="20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 spans="1:30" ht="15.75" customHeight="1" x14ac:dyDescent="0.3">
      <c r="A923" s="20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 spans="1:30" ht="15.75" customHeight="1" x14ac:dyDescent="0.3">
      <c r="A924" s="20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 spans="1:30" ht="15.75" customHeight="1" x14ac:dyDescent="0.3">
      <c r="A925" s="20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 spans="1:30" ht="15.75" customHeight="1" x14ac:dyDescent="0.3">
      <c r="A926" s="20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 spans="1:30" ht="15.75" customHeight="1" x14ac:dyDescent="0.3">
      <c r="A927" s="20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 spans="1:30" ht="15.75" customHeight="1" x14ac:dyDescent="0.3">
      <c r="A928" s="20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 spans="1:30" ht="15.75" customHeight="1" x14ac:dyDescent="0.3">
      <c r="A929" s="20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 spans="1:30" ht="15.75" customHeight="1" x14ac:dyDescent="0.3">
      <c r="A930" s="20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 spans="1:30" ht="15.75" customHeight="1" x14ac:dyDescent="0.3">
      <c r="A931" s="20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 spans="1:30" ht="15.75" customHeight="1" x14ac:dyDescent="0.3">
      <c r="A932" s="20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 spans="1:30" ht="15.75" customHeight="1" x14ac:dyDescent="0.3">
      <c r="A933" s="20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 spans="1:30" ht="15.75" customHeight="1" x14ac:dyDescent="0.3">
      <c r="A934" s="20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 spans="1:30" ht="15.75" customHeight="1" x14ac:dyDescent="0.3">
      <c r="A935" s="20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 spans="1:30" ht="15.75" customHeight="1" x14ac:dyDescent="0.3">
      <c r="A936" s="20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 spans="1:30" ht="15.75" customHeight="1" x14ac:dyDescent="0.3">
      <c r="A937" s="20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 spans="1:30" ht="15.75" customHeight="1" x14ac:dyDescent="0.3">
      <c r="A938" s="20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 spans="1:30" ht="15.75" customHeight="1" x14ac:dyDescent="0.3">
      <c r="A939" s="20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 spans="1:30" ht="15.75" customHeight="1" x14ac:dyDescent="0.3">
      <c r="A940" s="20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 spans="1:30" ht="15.75" customHeight="1" x14ac:dyDescent="0.3">
      <c r="A941" s="20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 spans="1:30" ht="15.75" customHeight="1" x14ac:dyDescent="0.3">
      <c r="A942" s="20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 spans="1:30" ht="15.75" customHeight="1" x14ac:dyDescent="0.3">
      <c r="A943" s="20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 spans="1:30" ht="15.75" customHeight="1" x14ac:dyDescent="0.3">
      <c r="A944" s="20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 spans="1:30" ht="15.75" customHeight="1" x14ac:dyDescent="0.3">
      <c r="A945" s="20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 spans="1:30" ht="15.75" customHeight="1" x14ac:dyDescent="0.3">
      <c r="A946" s="20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 spans="1:30" ht="15.75" customHeight="1" x14ac:dyDescent="0.3">
      <c r="A947" s="20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 spans="1:30" ht="15.75" customHeight="1" x14ac:dyDescent="0.3">
      <c r="A948" s="20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 spans="1:30" ht="15.75" customHeight="1" x14ac:dyDescent="0.3">
      <c r="A949" s="20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 spans="1:30" ht="15.75" customHeight="1" x14ac:dyDescent="0.3">
      <c r="A950" s="20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 spans="1:30" ht="15.75" customHeight="1" x14ac:dyDescent="0.3">
      <c r="A951" s="20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 spans="1:30" ht="15.75" customHeight="1" x14ac:dyDescent="0.3">
      <c r="A952" s="20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 spans="1:30" ht="15.75" customHeight="1" x14ac:dyDescent="0.3">
      <c r="A953" s="20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 spans="1:30" ht="15.75" customHeight="1" x14ac:dyDescent="0.3">
      <c r="A954" s="20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 spans="1:30" ht="15.75" customHeight="1" x14ac:dyDescent="0.3">
      <c r="A955" s="20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 spans="1:30" ht="15.75" customHeight="1" x14ac:dyDescent="0.3">
      <c r="A956" s="20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 spans="1:30" ht="15.75" customHeight="1" x14ac:dyDescent="0.3">
      <c r="A957" s="20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 spans="1:30" ht="15.75" customHeight="1" x14ac:dyDescent="0.3">
      <c r="A958" s="20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 spans="1:30" ht="15.75" customHeight="1" x14ac:dyDescent="0.3">
      <c r="A959" s="20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 spans="1:30" ht="15.75" customHeight="1" x14ac:dyDescent="0.3">
      <c r="A960" s="20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 spans="1:30" ht="15.75" customHeight="1" x14ac:dyDescent="0.3">
      <c r="A961" s="20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 spans="1:30" ht="15.75" customHeight="1" x14ac:dyDescent="0.3">
      <c r="A962" s="20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 spans="1:30" ht="15.75" customHeight="1" x14ac:dyDescent="0.3">
      <c r="A963" s="20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 spans="1:30" ht="15.75" customHeight="1" x14ac:dyDescent="0.3">
      <c r="A964" s="20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 spans="1:30" ht="15.75" customHeight="1" x14ac:dyDescent="0.3">
      <c r="A965" s="20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 spans="1:30" ht="15.75" customHeight="1" x14ac:dyDescent="0.3">
      <c r="A966" s="20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 spans="1:30" ht="15.75" customHeight="1" x14ac:dyDescent="0.3">
      <c r="A967" s="20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 spans="1:30" ht="15.75" customHeight="1" x14ac:dyDescent="0.3">
      <c r="A968" s="20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 spans="1:30" ht="15.75" customHeight="1" x14ac:dyDescent="0.3">
      <c r="A969" s="20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 spans="1:30" ht="15.75" customHeight="1" x14ac:dyDescent="0.3">
      <c r="A970" s="20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 spans="1:30" ht="15.75" customHeight="1" x14ac:dyDescent="0.3">
      <c r="A971" s="20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 spans="1:30" ht="15.75" customHeight="1" x14ac:dyDescent="0.3">
      <c r="A972" s="20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 spans="1:30" ht="15.75" customHeight="1" x14ac:dyDescent="0.3">
      <c r="A973" s="20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 spans="1:30" ht="15.75" customHeight="1" x14ac:dyDescent="0.3">
      <c r="A974" s="20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 spans="1:30" ht="15.75" customHeight="1" x14ac:dyDescent="0.3">
      <c r="A975" s="20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 spans="1:30" ht="15.75" customHeight="1" x14ac:dyDescent="0.3">
      <c r="A976" s="20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 spans="1:30" ht="15.75" customHeight="1" x14ac:dyDescent="0.3">
      <c r="A977" s="20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 spans="1:30" ht="15.75" customHeight="1" x14ac:dyDescent="0.3">
      <c r="A978" s="20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 spans="1:30" ht="15.75" customHeight="1" x14ac:dyDescent="0.3">
      <c r="A979" s="20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 spans="1:30" ht="15.75" customHeight="1" x14ac:dyDescent="0.3">
      <c r="A980" s="20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 spans="1:30" ht="15.75" customHeight="1" x14ac:dyDescent="0.3">
      <c r="A981" s="20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 spans="1:30" ht="15.75" customHeight="1" x14ac:dyDescent="0.3">
      <c r="A982" s="20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 spans="1:30" ht="15.75" customHeight="1" x14ac:dyDescent="0.3">
      <c r="A983" s="20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 spans="1:30" ht="15.75" customHeight="1" x14ac:dyDescent="0.3">
      <c r="A984" s="20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 spans="1:30" ht="15.75" customHeight="1" x14ac:dyDescent="0.3">
      <c r="A985" s="20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 spans="1:30" ht="15.75" customHeight="1" x14ac:dyDescent="0.3">
      <c r="A986" s="20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 spans="1:30" ht="15.75" customHeight="1" x14ac:dyDescent="0.3">
      <c r="A987" s="20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 spans="1:30" ht="15.75" customHeight="1" x14ac:dyDescent="0.3">
      <c r="A988" s="20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 spans="1:30" ht="15.75" customHeight="1" x14ac:dyDescent="0.3">
      <c r="A989" s="20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  <row r="990" spans="1:30" ht="15.75" customHeight="1" x14ac:dyDescent="0.3">
      <c r="A990" s="20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</row>
    <row r="991" spans="1:30" ht="15.75" customHeight="1" x14ac:dyDescent="0.3">
      <c r="A991" s="20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</row>
    <row r="992" spans="1:30" ht="14.4" customHeight="1" x14ac:dyDescent="0.3">
      <c r="A992" s="20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</row>
    <row r="993" spans="1:30" ht="14.4" customHeight="1" x14ac:dyDescent="0.3">
      <c r="A993" s="20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</row>
    <row r="994" spans="1:30" ht="14.4" x14ac:dyDescent="0.3">
      <c r="A994" s="20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</row>
    <row r="995" spans="1:30" ht="14.4" x14ac:dyDescent="0.3">
      <c r="A995" s="20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</row>
    <row r="996" spans="1:30" ht="14.4" x14ac:dyDescent="0.3">
      <c r="A996" s="20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</row>
    <row r="997" spans="1:30" ht="14.4" x14ac:dyDescent="0.3">
      <c r="A997" s="20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</row>
    <row r="998" spans="1:30" ht="14.4" x14ac:dyDescent="0.3">
      <c r="A998" s="20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</row>
    <row r="999" spans="1:30" ht="14.4" x14ac:dyDescent="0.3">
      <c r="A999" s="20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</row>
    <row r="1000" spans="1:30" ht="14.4" x14ac:dyDescent="0.3">
      <c r="A1000" s="20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</row>
    <row r="1001" spans="1:30" ht="14.4" x14ac:dyDescent="0.3">
      <c r="A1001" s="20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</row>
  </sheetData>
  <mergeCells count="81">
    <mergeCell ref="N5:N6"/>
    <mergeCell ref="F9:F10"/>
    <mergeCell ref="L9:L10"/>
    <mergeCell ref="M9:M10"/>
    <mergeCell ref="N9:N10"/>
    <mergeCell ref="A5:A6"/>
    <mergeCell ref="E5:E6"/>
    <mergeCell ref="F5:F6"/>
    <mergeCell ref="L5:L6"/>
    <mergeCell ref="M5:M6"/>
    <mergeCell ref="A2:A4"/>
    <mergeCell ref="N2:N4"/>
    <mergeCell ref="L2:L3"/>
    <mergeCell ref="M2:M4"/>
    <mergeCell ref="E2:E4"/>
    <mergeCell ref="F2:F4"/>
    <mergeCell ref="M7:M8"/>
    <mergeCell ref="N7:N8"/>
    <mergeCell ref="A9:A10"/>
    <mergeCell ref="N17:N18"/>
    <mergeCell ref="N11:N12"/>
    <mergeCell ref="E13:E16"/>
    <mergeCell ref="F13:F16"/>
    <mergeCell ref="M13:M16"/>
    <mergeCell ref="B15:B16"/>
    <mergeCell ref="A11:A12"/>
    <mergeCell ref="B11:B12"/>
    <mergeCell ref="E11:E12"/>
    <mergeCell ref="F11:F12"/>
    <mergeCell ref="L11:L12"/>
    <mergeCell ref="M11:M12"/>
    <mergeCell ref="E9:E10"/>
    <mergeCell ref="A7:A8"/>
    <mergeCell ref="B7:B8"/>
    <mergeCell ref="E7:E8"/>
    <mergeCell ref="F7:F8"/>
    <mergeCell ref="L7:L8"/>
    <mergeCell ref="M20:M24"/>
    <mergeCell ref="N20:N24"/>
    <mergeCell ref="L20:L24"/>
    <mergeCell ref="A17:A18"/>
    <mergeCell ref="B17:B18"/>
    <mergeCell ref="E17:E18"/>
    <mergeCell ref="F17:F18"/>
    <mergeCell ref="M17:M18"/>
    <mergeCell ref="M26:M29"/>
    <mergeCell ref="N26:N29"/>
    <mergeCell ref="L27:L29"/>
    <mergeCell ref="A26:A29"/>
    <mergeCell ref="E26:E29"/>
    <mergeCell ref="F26:F29"/>
    <mergeCell ref="L30:L31"/>
    <mergeCell ref="M30:M31"/>
    <mergeCell ref="N30:N31"/>
    <mergeCell ref="N38:N39"/>
    <mergeCell ref="L38:L39"/>
    <mergeCell ref="M38:M39"/>
    <mergeCell ref="M32:M37"/>
    <mergeCell ref="M42:M43"/>
    <mergeCell ref="A38:A39"/>
    <mergeCell ref="E38:E39"/>
    <mergeCell ref="F38:F39"/>
    <mergeCell ref="N32:N37"/>
    <mergeCell ref="B32:B37"/>
    <mergeCell ref="A32:A37"/>
    <mergeCell ref="E32:E37"/>
    <mergeCell ref="F32:F37"/>
    <mergeCell ref="A45:B46"/>
    <mergeCell ref="C45:F46"/>
    <mergeCell ref="A13:A16"/>
    <mergeCell ref="A42:A43"/>
    <mergeCell ref="B42:B43"/>
    <mergeCell ref="E42:E43"/>
    <mergeCell ref="F42:F43"/>
    <mergeCell ref="A30:A31"/>
    <mergeCell ref="E30:E31"/>
    <mergeCell ref="F30:F31"/>
    <mergeCell ref="A20:A24"/>
    <mergeCell ref="B20:B24"/>
    <mergeCell ref="E20:E24"/>
    <mergeCell ref="F20:F24"/>
  </mergeCells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1F2ACAE8AEB41B7E7A25376FBBB89" ma:contentTypeVersion="11" ma:contentTypeDescription="Create a new document." ma:contentTypeScope="" ma:versionID="f1aab0b18fed938d855a4fb6a92a03fa">
  <xsd:schema xmlns:xsd="http://www.w3.org/2001/XMLSchema" xmlns:xs="http://www.w3.org/2001/XMLSchema" xmlns:p="http://schemas.microsoft.com/office/2006/metadata/properties" xmlns:ns2="5ecaa347-df5e-4a65-a879-47861da87ac8" xmlns:ns3="f29908ee-0fd3-4a81-b43a-58efb20abc9e" targetNamespace="http://schemas.microsoft.com/office/2006/metadata/properties" ma:root="true" ma:fieldsID="4e5f06998846bc0f344fddf3a837c00f" ns2:_="" ns3:_="">
    <xsd:import namespace="5ecaa347-df5e-4a65-a879-47861da87ac8"/>
    <xsd:import namespace="f29908ee-0fd3-4a81-b43a-58efb20abc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aa347-df5e-4a65-a879-47861da87a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1262f89-1bb2-46e2-a7e7-0dc3df30a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908ee-0fd3-4a81-b43a-58efb20abc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bdd767f-5ecf-4e35-b072-68c59d141f61}" ma:internalName="TaxCatchAll" ma:showField="CatchAllData" ma:web="f29908ee-0fd3-4a81-b43a-58efb20abc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caa347-df5e-4a65-a879-47861da87ac8">
      <Terms xmlns="http://schemas.microsoft.com/office/infopath/2007/PartnerControls"/>
    </lcf76f155ced4ddcb4097134ff3c332f>
    <TaxCatchAll xmlns="f29908ee-0fd3-4a81-b43a-58efb20abc9e" xsi:nil="true"/>
  </documentManagement>
</p:properties>
</file>

<file path=customXml/itemProps1.xml><?xml version="1.0" encoding="utf-8"?>
<ds:datastoreItem xmlns:ds="http://schemas.openxmlformats.org/officeDocument/2006/customXml" ds:itemID="{BCFB3F85-99CC-45A0-A287-8F5361EB39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2E2494-6691-426F-8C71-0B64CD4FA9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caa347-df5e-4a65-a879-47861da87ac8"/>
    <ds:schemaRef ds:uri="f29908ee-0fd3-4a81-b43a-58efb20abc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E26650-9DB7-438F-B2E0-DC51DDE5362E}">
  <ds:schemaRefs>
    <ds:schemaRef ds:uri="http://schemas.microsoft.com/office/2006/metadata/properties"/>
    <ds:schemaRef ds:uri="http://schemas.microsoft.com/office/infopath/2007/PartnerControls"/>
    <ds:schemaRef ds:uri="5ecaa347-df5e-4a65-a879-47861da87ac8"/>
    <ds:schemaRef ds:uri="f29908ee-0fd3-4a81-b43a-58efb20abc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ResourceEffort64v14-1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2026-04-14T08:43:42Z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0x0101004571F2ACAE8AEB41B7E7A25376FBBB89</vt:lpwstr>
  </property>
  <property fmtid="{D5CDD505-2E9C-101B-9397-08002B2CF9AE}" pid="3" name="MediaServiceImageTags">
    <vt:lpwstr/>
  </property>
</Properties>
</file>